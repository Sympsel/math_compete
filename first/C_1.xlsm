
<file path=[Content_Types].xml><?xml version="1.0" encoding="utf-8"?>
<Types xmlns="http://schemas.openxmlformats.org/package/2006/content-types">
  <Default Extension="vml" ContentType="application/vnd.openxmlformats-officedocument.vmlDrawing"/>
  <Default Extension="bin" ContentType="application/vnd.openxmlformats-officedocument.oleObject"/>
  <Default Extension="emf" ContentType="image/x-e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6" activeTab="6"/>
  </bookViews>
  <sheets>
    <sheet name="工管181" sheetId="13" state="hidden" r:id="rId1"/>
    <sheet name="工管182" sheetId="14" state="hidden" r:id="rId2"/>
    <sheet name="造价181" sheetId="15" state="hidden" r:id="rId3"/>
    <sheet name="造价182" sheetId="16" state="hidden" r:id="rId4"/>
    <sheet name="统计173" sheetId="17" state="hidden" r:id="rId5"/>
    <sheet name="安全171" sheetId="19" state="hidden" r:id="rId6"/>
    <sheet name="Sheet1" sheetId="86" r:id="rId7"/>
  </sheets>
  <definedNames>
    <definedName name="_xlnm.Print_Titles" localSheetId="5">安全171!$3:$3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<sst xmlns="http://schemas.openxmlformats.org/spreadsheetml/2006/main" count="1439" uniqueCount="362">
  <si>
    <t>2018-2019学年第一学期                                    贵州理工学院学生平时成绩汇总表</t>
  </si>
  <si>
    <t>教学班点名册</t>
  </si>
  <si>
    <t>贵州理工学院学生作业成绩登记表</t>
  </si>
  <si>
    <r>
      <rPr>
        <b/>
        <sz val="11"/>
        <color rgb="FF000000"/>
        <rFont val="宋体"/>
        <charset val="134"/>
      </rPr>
      <t>学院：经济与管理学院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班级：工管</t>
    </r>
    <r>
      <rPr>
        <b/>
        <sz val="11"/>
        <color rgb="FF000000"/>
        <rFont val="Times New Roman"/>
        <charset val="134"/>
      </rPr>
      <t xml:space="preserve">181      </t>
    </r>
    <r>
      <rPr>
        <b/>
        <sz val="11"/>
        <color rgb="FF000000"/>
        <rFont val="宋体"/>
        <charset val="134"/>
      </rPr>
      <t>课程：线性代数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任课教师：</t>
    </r>
    <r>
      <rPr>
        <b/>
        <sz val="11"/>
        <color rgb="FF000000"/>
        <rFont val="Times New Roman"/>
        <charset val="134"/>
      </rPr>
      <t xml:space="preserve"> </t>
    </r>
    <r>
      <rPr>
        <b/>
        <sz val="11"/>
        <color rgb="FF000000"/>
        <rFont val="宋体"/>
        <charset val="134"/>
      </rPr>
      <t>胡曙</t>
    </r>
  </si>
  <si>
    <t>学年</t>
  </si>
  <si>
    <t>18-19</t>
  </si>
  <si>
    <t>学期</t>
  </si>
  <si>
    <t>选课课号</t>
  </si>
  <si>
    <t>(2018-2019-2)-1418210012-20130260-2</t>
  </si>
  <si>
    <t>课程名称</t>
  </si>
  <si>
    <t>线性代数</t>
  </si>
  <si>
    <t xml:space="preserve">学期：18-19第二学期                  学院： 理学院            班   级： 工管181        </t>
  </si>
  <si>
    <t>序号</t>
  </si>
  <si>
    <t>学号</t>
  </si>
  <si>
    <t>姓名</t>
  </si>
  <si>
    <t>考勤成绩（占25%）</t>
  </si>
  <si>
    <t>作业成绩（占37.5%）</t>
  </si>
  <si>
    <t>课堂表现成绩
（占37.5%）</t>
  </si>
  <si>
    <t>平时成绩</t>
  </si>
  <si>
    <t>教师姓名</t>
  </si>
  <si>
    <t>胡曙</t>
  </si>
  <si>
    <t>教师单位</t>
  </si>
  <si>
    <t>理学院</t>
  </si>
  <si>
    <t>上课时间</t>
  </si>
  <si>
    <t>周二9、10节（第1-10周），周五1、2节（第1-10周）</t>
  </si>
  <si>
    <t>上课地点</t>
  </si>
  <si>
    <t>2212；3-215D</t>
  </si>
  <si>
    <t>课程：线性代数                       学分： 2.5              任课教师：胡曙</t>
  </si>
  <si>
    <t>吴增亮</t>
  </si>
  <si>
    <r>
      <rPr>
        <b/>
        <sz val="11"/>
        <color indexed="8"/>
        <rFont val="宋体"/>
        <charset val="134"/>
      </rPr>
      <t>序号</t>
    </r>
  </si>
  <si>
    <t>班级</t>
  </si>
  <si>
    <t>上课次数</t>
  </si>
  <si>
    <t>考勤成绩</t>
  </si>
  <si>
    <t>作业次数</t>
  </si>
  <si>
    <t>作业成绩</t>
  </si>
  <si>
    <t>李富桥</t>
  </si>
  <si>
    <t>冯显禄</t>
  </si>
  <si>
    <t>工管181</t>
  </si>
  <si>
    <t>作业内容概述</t>
  </si>
  <si>
    <t>罗贞晓</t>
  </si>
  <si>
    <t>唐小杏</t>
  </si>
  <si>
    <t>龙春柳</t>
  </si>
  <si>
    <t>张光杰</t>
  </si>
  <si>
    <t>王景涛</t>
  </si>
  <si>
    <t>周满友</t>
  </si>
  <si>
    <t>陈利梅</t>
  </si>
  <si>
    <t>杨戎</t>
  </si>
  <si>
    <t>聂远亮</t>
  </si>
  <si>
    <t>谢金飞</t>
  </si>
  <si>
    <t>黄配云</t>
  </si>
  <si>
    <t>崔茂良</t>
  </si>
  <si>
    <t>霍明东</t>
  </si>
  <si>
    <t>孙薇</t>
  </si>
  <si>
    <t>陈传升</t>
  </si>
  <si>
    <t>张维</t>
  </si>
  <si>
    <t>吴晶</t>
  </si>
  <si>
    <t>王利惠</t>
  </si>
  <si>
    <t>郑垒</t>
  </si>
  <si>
    <t>潘秀权</t>
  </si>
  <si>
    <t>田晓环</t>
  </si>
  <si>
    <t>杨银波</t>
  </si>
  <si>
    <t>肖程瑞</t>
  </si>
  <si>
    <t>魏雪滢</t>
  </si>
  <si>
    <t>罗宝</t>
  </si>
  <si>
    <t>马云腾</t>
  </si>
  <si>
    <t>胡国盘</t>
  </si>
  <si>
    <t>蒲兴桃</t>
  </si>
  <si>
    <t>邓忠遥</t>
  </si>
  <si>
    <t>陈红冲</t>
  </si>
  <si>
    <t>杨晶</t>
  </si>
  <si>
    <t>陆沂宏</t>
  </si>
  <si>
    <t>陈雨潇</t>
  </si>
  <si>
    <t>肖成新</t>
  </si>
  <si>
    <t>张怀友</t>
  </si>
  <si>
    <t>高鹏</t>
  </si>
  <si>
    <t>程勇</t>
  </si>
  <si>
    <t>袁鑫</t>
  </si>
  <si>
    <t>李松</t>
  </si>
  <si>
    <t>彭正强</t>
  </si>
  <si>
    <t>张俊烽</t>
  </si>
  <si>
    <t>张凤</t>
  </si>
  <si>
    <t xml:space="preserve">   说    明：</t>
  </si>
  <si>
    <t>1.表中所有成绩，均按百分制给出，均保留到整数。</t>
  </si>
  <si>
    <t>2.“课堂表现成绩”由教师根据学生参与线上网络学习平台表现情况、线下学生回答教师课堂提问、参与课堂讨论、现场试题演算与解答等情况给分。</t>
  </si>
  <si>
    <t>说   明：</t>
  </si>
  <si>
    <t>3.“平时成绩”，由考勤、作业、课堂表现三项成绩根据占比情况构成。</t>
  </si>
  <si>
    <t>1.符号说明：旷课×；迟到或早退△；请假○ ，出勤则不作任何记号。</t>
  </si>
  <si>
    <t xml:space="preserve">       任课教师签名（手写）：</t>
  </si>
  <si>
    <t>2.“上课次数”为一学期上课总次数（每次上课为两节课），根据教学工作实际“上课次数”任课教师可以根据实际上课次数自行增减。</t>
  </si>
  <si>
    <t>说明：</t>
  </si>
  <si>
    <t>3.考勤成绩总分100分。缺旷一次扣5分，迟到、早退或私假一次扣2分，考勤成绩保留到整数。</t>
  </si>
  <si>
    <r>
      <rPr>
        <sz val="11"/>
        <color indexed="8"/>
        <rFont val="Times New Roman"/>
        <charset val="134"/>
      </rPr>
      <t>1.</t>
    </r>
    <r>
      <rPr>
        <sz val="11"/>
        <color indexed="8"/>
        <rFont val="宋体"/>
        <charset val="134"/>
      </rPr>
      <t>本表所列“作业”，均指纸质作业。每次作业成绩均按百分制给出，“作业成绩”一栏为历次作业成绩的平均分，并保留整数。</t>
    </r>
  </si>
  <si>
    <t>4.迟到或早退达15分钟以上者，按旷课一次计算，迟到、早退累计三次按旷课一次计算。</t>
  </si>
  <si>
    <r>
      <rPr>
        <sz val="11"/>
        <color indexed="8"/>
        <rFont val="Times New Roman"/>
        <charset val="134"/>
      </rPr>
      <t>2.</t>
    </r>
    <r>
      <rPr>
        <sz val="11"/>
        <color indexed="8"/>
        <rFont val="宋体"/>
        <charset val="134"/>
      </rPr>
      <t>缺交作业超过三分之一，取消该门课程考试资格，成绩以零分计。</t>
    </r>
  </si>
  <si>
    <t>5.学生一学期内无故缺课累计超过该门课程教学时数三分之一，取消其该课程考核资格，成绩记为零分。</t>
  </si>
  <si>
    <r>
      <rPr>
        <sz val="11"/>
        <color indexed="8"/>
        <rFont val="Times New Roman"/>
        <charset val="134"/>
      </rPr>
      <t>3.</t>
    </r>
    <r>
      <rPr>
        <sz val="11"/>
        <color indexed="8"/>
        <rFont val="宋体"/>
        <charset val="134"/>
      </rPr>
      <t>按每门课程的学分计算，每一学分课程每一学期至少需给学生布置并批改</t>
    </r>
    <r>
      <rPr>
        <sz val="11"/>
        <color indexed="8"/>
        <rFont val="Times New Roman"/>
        <charset val="134"/>
      </rPr>
      <t>2</t>
    </r>
    <r>
      <rPr>
        <sz val="11"/>
        <color indexed="8"/>
        <rFont val="宋体"/>
        <charset val="134"/>
      </rPr>
      <t>次纸质作业。</t>
    </r>
  </si>
  <si>
    <t>6.本表同时作为学生考勤成绩登记表，本表表头（即第一、二行）不允许更改，相关数据直接按学校教务系统中导出的数据填写。</t>
  </si>
  <si>
    <r>
      <rPr>
        <sz val="11"/>
        <color indexed="8"/>
        <rFont val="Times New Roman"/>
        <charset val="134"/>
      </rPr>
      <t>4.</t>
    </r>
    <r>
      <rPr>
        <sz val="11"/>
        <color indexed="8"/>
        <rFont val="宋体"/>
        <charset val="134"/>
      </rPr>
      <t>根据课程学分实际，本表“作业次数”一栏，可以自行增减。</t>
    </r>
  </si>
  <si>
    <t xml:space="preserve">                                                  任课教师签名（手写）：</t>
  </si>
  <si>
    <t>任课教师签名（手写）：</t>
  </si>
  <si>
    <r>
      <rPr>
        <b/>
        <sz val="11"/>
        <color rgb="FF000000"/>
        <rFont val="宋体"/>
        <charset val="134"/>
      </rPr>
      <t>学院：经济与管理学院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班级：工管</t>
    </r>
    <r>
      <rPr>
        <b/>
        <sz val="11"/>
        <color rgb="FF000000"/>
        <rFont val="Times New Roman"/>
        <charset val="134"/>
      </rPr>
      <t xml:space="preserve">182      </t>
    </r>
    <r>
      <rPr>
        <b/>
        <sz val="11"/>
        <color rgb="FF000000"/>
        <rFont val="宋体"/>
        <charset val="134"/>
      </rPr>
      <t>课程：线性代数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任课教师：</t>
    </r>
    <r>
      <rPr>
        <b/>
        <sz val="11"/>
        <color rgb="FF000000"/>
        <rFont val="Times New Roman"/>
        <charset val="134"/>
      </rPr>
      <t xml:space="preserve"> </t>
    </r>
    <r>
      <rPr>
        <b/>
        <sz val="11"/>
        <color rgb="FF000000"/>
        <rFont val="宋体"/>
        <charset val="134"/>
      </rPr>
      <t>胡曙</t>
    </r>
  </si>
  <si>
    <t xml:space="preserve">学期：18-19第二学期                  学院： 理学院            班   级： 工管182        </t>
  </si>
  <si>
    <t>王枫</t>
  </si>
  <si>
    <t>李华龙</t>
  </si>
  <si>
    <t>余永艳</t>
  </si>
  <si>
    <t>工管182</t>
  </si>
  <si>
    <t>崔庆娟</t>
  </si>
  <si>
    <t>李涛</t>
  </si>
  <si>
    <t>罗荣</t>
  </si>
  <si>
    <t>龙菊</t>
  </si>
  <si>
    <t>王灿</t>
  </si>
  <si>
    <t>金克华</t>
  </si>
  <si>
    <t>韩鹏</t>
  </si>
  <si>
    <t>杨妹花</t>
  </si>
  <si>
    <t>郎国鸿</t>
  </si>
  <si>
    <t>陈航</t>
  </si>
  <si>
    <t>陈赓桂</t>
  </si>
  <si>
    <t>李家欢</t>
  </si>
  <si>
    <t>黄宏福</t>
  </si>
  <si>
    <t>李佳</t>
  </si>
  <si>
    <t>何俊琪</t>
  </si>
  <si>
    <t>毛文杰</t>
  </si>
  <si>
    <t>韦卓倬</t>
  </si>
  <si>
    <t>郭剑羽</t>
  </si>
  <si>
    <t>陈宇</t>
  </si>
  <si>
    <t>余支威</t>
  </si>
  <si>
    <t>田奔奔</t>
  </si>
  <si>
    <t>徐鸣</t>
  </si>
  <si>
    <t>汪贵梅</t>
  </si>
  <si>
    <t>杨航玲</t>
  </si>
  <si>
    <t>梁芸妹</t>
  </si>
  <si>
    <t>赵畅</t>
  </si>
  <si>
    <t>刘航</t>
  </si>
  <si>
    <t>赵磊</t>
  </si>
  <si>
    <t>刘兴贵</t>
  </si>
  <si>
    <t>陈果</t>
  </si>
  <si>
    <t>申家龙</t>
  </si>
  <si>
    <t>王科茗</t>
  </si>
  <si>
    <t>李洪彬</t>
  </si>
  <si>
    <t>刘勲</t>
  </si>
  <si>
    <t>侯鑫雨</t>
  </si>
  <si>
    <t>崔长飞</t>
  </si>
  <si>
    <t>路江</t>
  </si>
  <si>
    <t>蒋金付</t>
  </si>
  <si>
    <t>王城</t>
  </si>
  <si>
    <t>罗斌</t>
  </si>
  <si>
    <t>陈正辉</t>
  </si>
  <si>
    <t>郭汉清</t>
  </si>
  <si>
    <t xml:space="preserve">                                                        任课教师签名（手写）：</t>
  </si>
  <si>
    <r>
      <rPr>
        <b/>
        <sz val="11"/>
        <color rgb="FF000000"/>
        <rFont val="宋体"/>
        <charset val="134"/>
      </rPr>
      <t>学院：经济与管理学院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班级：造价</t>
    </r>
    <r>
      <rPr>
        <b/>
        <sz val="11"/>
        <color rgb="FF000000"/>
        <rFont val="Times New Roman"/>
        <charset val="134"/>
      </rPr>
      <t xml:space="preserve">181      </t>
    </r>
    <r>
      <rPr>
        <b/>
        <sz val="11"/>
        <color rgb="FF000000"/>
        <rFont val="宋体"/>
        <charset val="134"/>
      </rPr>
      <t>课程：线性代数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任课教师：</t>
    </r>
    <r>
      <rPr>
        <b/>
        <sz val="11"/>
        <color rgb="FF000000"/>
        <rFont val="Times New Roman"/>
        <charset val="134"/>
      </rPr>
      <t xml:space="preserve"> </t>
    </r>
    <r>
      <rPr>
        <b/>
        <sz val="11"/>
        <color rgb="FF000000"/>
        <rFont val="宋体"/>
        <charset val="134"/>
      </rPr>
      <t>胡曙</t>
    </r>
  </si>
  <si>
    <t>(2018-2019-2)-1418210012-20130260-1</t>
  </si>
  <si>
    <t xml:space="preserve">学期：18-19第二学期                  学院： 理学院            班   级： 造价181        </t>
  </si>
  <si>
    <t>周二1、2节（第1-10周），周四9、10节（第1-10周）</t>
  </si>
  <si>
    <t>2412；2212</t>
  </si>
  <si>
    <t>王菲</t>
  </si>
  <si>
    <t>张翼龙</t>
  </si>
  <si>
    <t>黄宝利</t>
  </si>
  <si>
    <t>造价181</t>
  </si>
  <si>
    <t>陈亚翔</t>
  </si>
  <si>
    <t>刘杨彬</t>
  </si>
  <si>
    <t>何国</t>
  </si>
  <si>
    <t>石龙桂</t>
  </si>
  <si>
    <t>陈弟金</t>
  </si>
  <si>
    <t>周肖馨妮</t>
  </si>
  <si>
    <t>周昌云</t>
  </si>
  <si>
    <t>蒙丹丹</t>
  </si>
  <si>
    <t>苟龙羿</t>
  </si>
  <si>
    <t>罗锦桓</t>
  </si>
  <si>
    <t>李洋</t>
  </si>
  <si>
    <t>司佳雄</t>
  </si>
  <si>
    <t>吴俊</t>
  </si>
  <si>
    <t>简国庆</t>
  </si>
  <si>
    <t>杨竣峰</t>
  </si>
  <si>
    <t>杨能</t>
  </si>
  <si>
    <t>安桂林</t>
  </si>
  <si>
    <t>李绍衡</t>
  </si>
  <si>
    <t>伍行行</t>
  </si>
  <si>
    <t>何光芹</t>
  </si>
  <si>
    <t>卢伟</t>
  </si>
  <si>
    <t>王大林</t>
  </si>
  <si>
    <t>龙武旭</t>
  </si>
  <si>
    <t>邓明森</t>
  </si>
  <si>
    <t>罗永建</t>
  </si>
  <si>
    <t>廖启胜</t>
  </si>
  <si>
    <t>吴林私</t>
  </si>
  <si>
    <t>王东</t>
  </si>
  <si>
    <t>洪艳</t>
  </si>
  <si>
    <t>郭云</t>
  </si>
  <si>
    <t>王俊</t>
  </si>
  <si>
    <t>龙宜炘</t>
  </si>
  <si>
    <t>胥荷江</t>
  </si>
  <si>
    <t>罗安明</t>
  </si>
  <si>
    <t>梁周修</t>
  </si>
  <si>
    <t>徐帅</t>
  </si>
  <si>
    <t>陈俊杰</t>
  </si>
  <si>
    <t>杨玮峰</t>
  </si>
  <si>
    <t>雷锦涛</t>
  </si>
  <si>
    <t xml:space="preserve">                                                    任课教师签名（手写）：</t>
  </si>
  <si>
    <t xml:space="preserve">学期：18-19第二学期                  学院： 理学院            班   级： 造价182        </t>
  </si>
  <si>
    <t>彭泷华</t>
  </si>
  <si>
    <t>李成泽</t>
  </si>
  <si>
    <t>牛立国</t>
  </si>
  <si>
    <t>造价182</t>
  </si>
  <si>
    <t>池海源</t>
  </si>
  <si>
    <t>唐大伟</t>
  </si>
  <si>
    <t>姚德龙</t>
  </si>
  <si>
    <t>张创建</t>
  </si>
  <si>
    <t>龙绍琳</t>
  </si>
  <si>
    <t>王运科</t>
  </si>
  <si>
    <t>张宽</t>
  </si>
  <si>
    <t>冉茂荻</t>
  </si>
  <si>
    <t>姚晓碟</t>
  </si>
  <si>
    <t>黄维</t>
  </si>
  <si>
    <t>王炟</t>
  </si>
  <si>
    <t>李志</t>
  </si>
  <si>
    <t>陶佳惠</t>
  </si>
  <si>
    <t>管洪满</t>
  </si>
  <si>
    <t>杨再吕</t>
  </si>
  <si>
    <t>姚友发</t>
  </si>
  <si>
    <t>石国豪</t>
  </si>
  <si>
    <t>任世明</t>
  </si>
  <si>
    <t>刘伟</t>
  </si>
  <si>
    <t>马汭汭</t>
  </si>
  <si>
    <t>龙莉平</t>
  </si>
  <si>
    <t>覃学霞</t>
  </si>
  <si>
    <t>田景凤</t>
  </si>
  <si>
    <t>张汝达</t>
  </si>
  <si>
    <t>吴林峰</t>
  </si>
  <si>
    <t>张谦</t>
  </si>
  <si>
    <t>张涛</t>
  </si>
  <si>
    <t>岑泰丹</t>
  </si>
  <si>
    <t>冯誉</t>
  </si>
  <si>
    <t>唐弘智</t>
  </si>
  <si>
    <t>郭嘉圆</t>
  </si>
  <si>
    <t>刘刚刚</t>
  </si>
  <si>
    <t>王忠发</t>
  </si>
  <si>
    <t>王政</t>
  </si>
  <si>
    <t>刘龙</t>
  </si>
  <si>
    <t>谢维凯</t>
  </si>
  <si>
    <t>鞠雨芯</t>
  </si>
  <si>
    <t>杨凡</t>
  </si>
  <si>
    <t>孔令帆</t>
  </si>
  <si>
    <t xml:space="preserve">                                      任课教师签名（手写）：</t>
  </si>
  <si>
    <r>
      <rPr>
        <b/>
        <sz val="11"/>
        <color rgb="FF000000"/>
        <rFont val="宋体"/>
        <charset val="134"/>
      </rPr>
      <t>学院：经济与管理学院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班级：统计</t>
    </r>
    <r>
      <rPr>
        <b/>
        <sz val="11"/>
        <color rgb="FF000000"/>
        <rFont val="Times New Roman"/>
        <charset val="134"/>
      </rPr>
      <t xml:space="preserve">173      </t>
    </r>
    <r>
      <rPr>
        <b/>
        <sz val="11"/>
        <color rgb="FF000000"/>
        <rFont val="宋体"/>
        <charset val="134"/>
      </rPr>
      <t>课程：数理统计</t>
    </r>
    <r>
      <rPr>
        <b/>
        <sz val="11"/>
        <color rgb="FF000000"/>
        <rFont val="Times New Roman"/>
        <charset val="134"/>
      </rPr>
      <t xml:space="preserve">     </t>
    </r>
    <r>
      <rPr>
        <b/>
        <sz val="11"/>
        <color rgb="FF000000"/>
        <rFont val="宋体"/>
        <charset val="134"/>
      </rPr>
      <t>任课教师：</t>
    </r>
    <r>
      <rPr>
        <b/>
        <sz val="11"/>
        <color rgb="FF000000"/>
        <rFont val="Times New Roman"/>
        <charset val="134"/>
      </rPr>
      <t xml:space="preserve"> </t>
    </r>
    <r>
      <rPr>
        <b/>
        <sz val="11"/>
        <color rgb="FF000000"/>
        <rFont val="宋体"/>
        <charset val="134"/>
      </rPr>
      <t>胡曙</t>
    </r>
  </si>
  <si>
    <t>(2018-2019-2)-1400001007-20130260-1</t>
  </si>
  <si>
    <t>数理统计</t>
  </si>
  <si>
    <t xml:space="preserve">学期：18-19第二学期                  学院： 理学院            班   级： 统计173        </t>
  </si>
  <si>
    <t>周二3、4节（第1-10周、第12-18周），周四7、8节（第1-10周）</t>
  </si>
  <si>
    <t>2413；3-215D</t>
  </si>
  <si>
    <t>课程：数理统计                       学分： 3              任课教师：胡曙</t>
  </si>
  <si>
    <t>安可钰</t>
  </si>
  <si>
    <t>谌洪莹</t>
  </si>
  <si>
    <t>付梅</t>
  </si>
  <si>
    <t>统计173</t>
  </si>
  <si>
    <t>龚雪艳</t>
  </si>
  <si>
    <t>何易</t>
  </si>
  <si>
    <t>胡倩</t>
  </si>
  <si>
    <t>李卜贵</t>
  </si>
  <si>
    <t>李继群</t>
  </si>
  <si>
    <t>林航</t>
  </si>
  <si>
    <t>刘剑宇</t>
  </si>
  <si>
    <t>刘庆松</t>
  </si>
  <si>
    <t>刘霞</t>
  </si>
  <si>
    <t>刘炎磊</t>
  </si>
  <si>
    <t>刘颖</t>
  </si>
  <si>
    <t>陆盛明</t>
  </si>
  <si>
    <t>秦丽丹</t>
  </si>
  <si>
    <t>屈玉欣</t>
  </si>
  <si>
    <t>石佩兰</t>
  </si>
  <si>
    <t>田莉</t>
  </si>
  <si>
    <t>王晖</t>
  </si>
  <si>
    <t>王显文</t>
  </si>
  <si>
    <t>王义祝</t>
  </si>
  <si>
    <t>韦艳玲</t>
  </si>
  <si>
    <t>吴贵芬</t>
  </si>
  <si>
    <t>夏政鹏</t>
  </si>
  <si>
    <t>向云燕</t>
  </si>
  <si>
    <t>谢小康</t>
  </si>
  <si>
    <t>辛波</t>
  </si>
  <si>
    <t>徐当镰</t>
  </si>
  <si>
    <t>许鑫</t>
  </si>
  <si>
    <t>颜修吉</t>
  </si>
  <si>
    <t>杨庆</t>
  </si>
  <si>
    <t>姚国亮</t>
  </si>
  <si>
    <t>易华艳</t>
  </si>
  <si>
    <t>殷政</t>
  </si>
  <si>
    <t>尹雨来</t>
  </si>
  <si>
    <t>余家艾</t>
  </si>
  <si>
    <t>张晨恺</t>
  </si>
  <si>
    <t>朱鑫岚</t>
  </si>
  <si>
    <t xml:space="preserve">                                          任课教师签名（手写）：</t>
  </si>
  <si>
    <r>
      <rPr>
        <b/>
        <sz val="11"/>
        <color rgb="FF000000"/>
        <rFont val="宋体"/>
        <charset val="134"/>
      </rPr>
      <t>学院：</t>
    </r>
    <r>
      <rPr>
        <b/>
        <sz val="11"/>
        <color rgb="FF000000"/>
        <rFont val="Times New Roman"/>
        <charset val="134"/>
      </rPr>
      <t xml:space="preserve"> </t>
    </r>
    <r>
      <rPr>
        <b/>
        <sz val="11"/>
        <color rgb="FF000000"/>
        <rFont val="宋体"/>
        <charset val="134"/>
      </rPr>
      <t>矿业工程学院</t>
    </r>
    <r>
      <rPr>
        <b/>
        <sz val="11"/>
        <color rgb="FF000000"/>
        <rFont val="Times New Roman"/>
        <charset val="134"/>
      </rPr>
      <t xml:space="preserve">          </t>
    </r>
    <r>
      <rPr>
        <b/>
        <sz val="11"/>
        <color rgb="FF000000"/>
        <rFont val="宋体"/>
        <charset val="134"/>
      </rPr>
      <t>班级：安全</t>
    </r>
    <r>
      <rPr>
        <b/>
        <sz val="11"/>
        <color rgb="FF000000"/>
        <rFont val="Times New Roman"/>
        <charset val="134"/>
      </rPr>
      <t xml:space="preserve">171         </t>
    </r>
    <r>
      <rPr>
        <b/>
        <sz val="11"/>
        <color rgb="FF000000"/>
        <rFont val="宋体"/>
        <charset val="134"/>
      </rPr>
      <t>课程：线性代数</t>
    </r>
    <r>
      <rPr>
        <b/>
        <sz val="11"/>
        <color rgb="FF000000"/>
        <rFont val="Times New Roman"/>
        <charset val="134"/>
      </rPr>
      <t xml:space="preserve">      </t>
    </r>
    <r>
      <rPr>
        <b/>
        <sz val="11"/>
        <color rgb="FF000000"/>
        <rFont val="宋体"/>
        <charset val="134"/>
      </rPr>
      <t>任课教师：胡曙</t>
    </r>
    <r>
      <rPr>
        <b/>
        <sz val="11"/>
        <color rgb="FF000000"/>
        <rFont val="Times New Roman"/>
        <charset val="134"/>
      </rPr>
      <t xml:space="preserve"> </t>
    </r>
  </si>
  <si>
    <t>第一</t>
  </si>
  <si>
    <t>(2018-2019-1)-1400000007-20130260-1</t>
  </si>
  <si>
    <t xml:space="preserve">学期：18-19第一学期                  学院： 理学院            班   级： 安全171        </t>
  </si>
  <si>
    <t>周一3、4节（第1-6周，8-13周），周三3、4节（第1-6周，8-12周）</t>
  </si>
  <si>
    <t>3-115</t>
  </si>
  <si>
    <t>曾波</t>
  </si>
  <si>
    <t>刘小江</t>
  </si>
  <si>
    <t>罗玉鹏</t>
  </si>
  <si>
    <r>
      <rPr>
        <sz val="10.5"/>
        <color indexed="8"/>
        <rFont val="宋体"/>
        <charset val="134"/>
      </rPr>
      <t>安全</t>
    </r>
    <r>
      <rPr>
        <sz val="10.5"/>
        <color indexed="8"/>
        <rFont val="Times New Roman"/>
        <charset val="134"/>
      </rPr>
      <t>171</t>
    </r>
  </si>
  <si>
    <t>×</t>
  </si>
  <si>
    <t>张习梦</t>
  </si>
  <si>
    <t>行列式计算</t>
  </si>
  <si>
    <t>矩阵运算</t>
  </si>
  <si>
    <t>矩阵的初等变换</t>
  </si>
  <si>
    <t>线性方程组</t>
  </si>
  <si>
    <t>特征值与特征向量</t>
  </si>
  <si>
    <t>二次型</t>
  </si>
  <si>
    <t>周权</t>
  </si>
  <si>
    <t>向德云</t>
  </si>
  <si>
    <t>薛庭治</t>
  </si>
  <si>
    <t>陈礼俊</t>
  </si>
  <si>
    <t>陈玉森</t>
  </si>
  <si>
    <t>韩磊</t>
  </si>
  <si>
    <t>何金志</t>
  </si>
  <si>
    <t>胡正峰</t>
  </si>
  <si>
    <t>黄洋洋</t>
  </si>
  <si>
    <t>姜攀</t>
  </si>
  <si>
    <t>蒋雨生</t>
  </si>
  <si>
    <t>黎杰</t>
  </si>
  <si>
    <t>黎增辉</t>
  </si>
  <si>
    <t>李传英</t>
  </si>
  <si>
    <t>李辉刚</t>
  </si>
  <si>
    <t>李琪</t>
  </si>
  <si>
    <t>李婷婷</t>
  </si>
  <si>
    <t>李潇伟</t>
  </si>
  <si>
    <t>李晓杰</t>
  </si>
  <si>
    <t>李鑫</t>
  </si>
  <si>
    <t>李胤</t>
  </si>
  <si>
    <t>李羽柔</t>
  </si>
  <si>
    <t>刘冠军</t>
  </si>
  <si>
    <t>刘浪浪</t>
  </si>
  <si>
    <t>○</t>
  </si>
  <si>
    <t>刘庆</t>
  </si>
  <si>
    <t>龙运水</t>
  </si>
  <si>
    <t>钱运来</t>
  </si>
  <si>
    <t>冉浪涛</t>
  </si>
  <si>
    <t>石建康</t>
  </si>
  <si>
    <t>税莉</t>
  </si>
  <si>
    <t>唐春天</t>
  </si>
  <si>
    <t>涂国义</t>
  </si>
  <si>
    <t>涂鹏</t>
  </si>
  <si>
    <t>王健飞</t>
  </si>
  <si>
    <t>王伟</t>
  </si>
  <si>
    <t>温发旺</t>
  </si>
  <si>
    <t>吴灿</t>
  </si>
  <si>
    <t>吴昌云</t>
  </si>
  <si>
    <t>夏龙学</t>
  </si>
  <si>
    <t>肖杰</t>
  </si>
  <si>
    <t>杨龙双</t>
  </si>
  <si>
    <t>杨文婷</t>
  </si>
  <si>
    <t>杨召文</t>
  </si>
  <si>
    <t>袁宗宗</t>
  </si>
  <si>
    <t>张明竺</t>
  </si>
  <si>
    <t>2.“上课次数”为一学期上课总次数（每次上课为两节课），根据教学工作实际，“上课次数”任课教师可以根据实际上课次数自行增减。</t>
  </si>
  <si>
    <t>3.考勤成绩总分100分。缺旷一次扣5分，迟到、早退或私假一次扣3分，考勤成绩保留到整数。</t>
  </si>
  <si>
    <t xml:space="preserve">                                                                                    任课教师签名（手写）：</t>
  </si>
  <si>
    <t xml:space="preserve">   附件1  烟雾狗收集的CO、HC排放数据</t>
  </si>
  <si>
    <t>速度/(mile/h)</t>
  </si>
  <si>
    <t>CO%</t>
  </si>
  <si>
    <t>HC%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</si>
</sst>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0_ "/>
    <numFmt numFmtId="178" formatCode="[Red][=0]0;[Red][&lt;60]#;#"/>
  </numFmts>
  <fonts count="50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8"/>
      <color indexed="8"/>
      <name val="黑体"/>
      <charset val="134"/>
    </font>
    <font>
      <b/>
      <sz val="11"/>
      <color rgb="FF000000"/>
      <name val="宋体"/>
      <charset val="134"/>
    </font>
    <font>
      <b/>
      <sz val="11"/>
      <color indexed="8"/>
      <name val="Times New Roman"/>
      <charset val="134"/>
    </font>
    <font>
      <b/>
      <sz val="11"/>
      <color indexed="8"/>
      <name val="仿宋_GB2312"/>
      <charset val="134"/>
    </font>
    <font>
      <b/>
      <sz val="10.5"/>
      <color indexed="8"/>
      <name val="仿宋_GB2312"/>
      <charset val="134"/>
    </font>
    <font>
      <b/>
      <sz val="11"/>
      <color rgb="FF000000"/>
      <name val="仿宋_GB2312"/>
      <charset val="134"/>
    </font>
    <font>
      <sz val="10.5"/>
      <color indexed="8"/>
      <name val="Times New Roman"/>
      <charset val="134"/>
    </font>
    <font>
      <sz val="11"/>
      <name val="宋体"/>
      <charset val="134"/>
    </font>
    <font>
      <b/>
      <sz val="11"/>
      <color indexed="12"/>
      <name val="Times New Roman"/>
      <charset val="134"/>
    </font>
    <font>
      <sz val="11"/>
      <color theme="1"/>
      <name val="宋体"/>
      <charset val="134"/>
    </font>
    <font>
      <sz val="11"/>
      <color theme="1"/>
      <name val="黑体"/>
      <charset val="134"/>
    </font>
    <font>
      <b/>
      <sz val="24"/>
      <color indexed="8"/>
      <name val="黑体"/>
      <charset val="134"/>
    </font>
    <font>
      <b/>
      <sz val="11"/>
      <name val="宋体"/>
      <charset val="134"/>
    </font>
    <font>
      <b/>
      <sz val="11"/>
      <color indexed="8"/>
      <name val="宋体"/>
      <charset val="134"/>
    </font>
    <font>
      <sz val="11"/>
      <color indexed="8"/>
      <name val="Times New Roman"/>
      <charset val="134"/>
    </font>
    <font>
      <b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indexed="8"/>
      <name val="宋体"/>
      <charset val="134"/>
    </font>
    <font>
      <b/>
      <sz val="20"/>
      <color indexed="8"/>
      <name val="黑体"/>
      <charset val="134"/>
    </font>
    <font>
      <b/>
      <sz val="10"/>
      <color indexed="8"/>
      <name val="宋体"/>
      <charset val="134"/>
    </font>
    <font>
      <b/>
      <sz val="10.5"/>
      <color indexed="8"/>
      <name val="宋体"/>
      <charset val="134"/>
    </font>
    <font>
      <sz val="10"/>
      <color indexed="8"/>
      <name val="宋体"/>
      <charset val="134"/>
    </font>
    <font>
      <sz val="9"/>
      <name val="宋体"/>
      <charset val="134"/>
    </font>
    <font>
      <b/>
      <sz val="10"/>
      <color indexed="12"/>
      <name val="Arial Unicode MS"/>
      <charset val="134"/>
    </font>
    <font>
      <sz val="10.5"/>
      <color indexed="8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宋体"/>
      <charset val="134"/>
    </font>
    <font>
      <b/>
      <sz val="11"/>
      <color rgb="FF000000"/>
      <name val="Times New Roman"/>
      <charset val="134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" fillId="2" borderId="25" applyNumberFormat="0" applyFon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6" applyNumberFormat="0" applyFill="0" applyAlignment="0" applyProtection="0">
      <alignment vertical="center"/>
    </xf>
    <xf numFmtId="0" fontId="35" fillId="0" borderId="26" applyNumberFormat="0" applyFill="0" applyAlignment="0" applyProtection="0">
      <alignment vertical="center"/>
    </xf>
    <xf numFmtId="0" fontId="36" fillId="0" borderId="27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3" borderId="28" applyNumberFormat="0" applyAlignment="0" applyProtection="0">
      <alignment vertical="center"/>
    </xf>
    <xf numFmtId="0" fontId="38" fillId="4" borderId="29" applyNumberFormat="0" applyAlignment="0" applyProtection="0">
      <alignment vertical="center"/>
    </xf>
    <xf numFmtId="0" fontId="39" fillId="4" borderId="28" applyNumberFormat="0" applyAlignment="0" applyProtection="0">
      <alignment vertical="center"/>
    </xf>
    <xf numFmtId="0" fontId="40" fillId="5" borderId="30" applyNumberFormat="0" applyAlignment="0" applyProtection="0">
      <alignment vertical="center"/>
    </xf>
    <xf numFmtId="0" fontId="41" fillId="0" borderId="31" applyNumberFormat="0" applyFill="0" applyAlignment="0" applyProtection="0">
      <alignment vertical="center"/>
    </xf>
    <xf numFmtId="0" fontId="42" fillId="0" borderId="32" applyNumberFormat="0" applyFill="0" applyAlignment="0" applyProtection="0">
      <alignment vertical="center"/>
    </xf>
    <xf numFmtId="0" fontId="43" fillId="6" borderId="0" applyNumberFormat="0" applyBorder="0" applyAlignment="0" applyProtection="0">
      <alignment vertical="center"/>
    </xf>
    <xf numFmtId="0" fontId="44" fillId="7" borderId="0" applyNumberFormat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7" fillId="10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6" fillId="16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6" fillId="20" borderId="0" applyNumberFormat="0" applyBorder="0" applyAlignment="0" applyProtection="0">
      <alignment vertical="center"/>
    </xf>
    <xf numFmtId="0" fontId="46" fillId="21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6" fillId="24" borderId="0" applyNumberFormat="0" applyBorder="0" applyAlignment="0" applyProtection="0">
      <alignment vertical="center"/>
    </xf>
    <xf numFmtId="0" fontId="46" fillId="25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6" fillId="28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6" fillId="32" borderId="0" applyNumberFormat="0" applyBorder="0" applyAlignment="0" applyProtection="0">
      <alignment vertical="center"/>
    </xf>
    <xf numFmtId="0" fontId="48" fillId="0" borderId="0"/>
    <xf numFmtId="0" fontId="3" fillId="0" borderId="0">
      <alignment vertical="center"/>
    </xf>
  </cellStyleXfs>
  <cellXfs count="121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center"/>
    </xf>
    <xf numFmtId="0" fontId="1" fillId="0" borderId="1" xfId="0" applyFont="1" applyFill="1" applyBorder="1" applyAlignment="1">
      <alignment horizontal="center"/>
    </xf>
    <xf numFmtId="176" fontId="1" fillId="0" borderId="0" xfId="0" applyNumberFormat="1" applyFont="1" applyFill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3" fillId="0" borderId="0" xfId="0" applyFont="1" applyFill="1" applyAlignment="1">
      <alignment vertical="center"/>
    </xf>
    <xf numFmtId="177" fontId="3" fillId="0" borderId="0" xfId="0" applyNumberFormat="1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5" xfId="0" applyFont="1" applyFill="1" applyBorder="1" applyAlignment="1">
      <alignment horizontal="left" vertical="center"/>
    </xf>
    <xf numFmtId="0" fontId="7" fillId="0" borderId="6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 wrapText="1"/>
    </xf>
    <xf numFmtId="177" fontId="9" fillId="0" borderId="8" xfId="0" applyNumberFormat="1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178" fontId="12" fillId="0" borderId="7" xfId="0" applyNumberFormat="1" applyFont="1" applyFill="1" applyBorder="1" applyAlignment="1">
      <alignment horizontal="center" vertical="center"/>
    </xf>
    <xf numFmtId="177" fontId="6" fillId="0" borderId="8" xfId="0" applyNumberFormat="1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11" fillId="0" borderId="10" xfId="0" applyNumberFormat="1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178" fontId="12" fillId="0" borderId="10" xfId="0" applyNumberFormat="1" applyFont="1" applyFill="1" applyBorder="1" applyAlignment="1">
      <alignment horizontal="center" vertical="center"/>
    </xf>
    <xf numFmtId="177" fontId="6" fillId="0" borderId="1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177" fontId="3" fillId="0" borderId="0" xfId="0" applyNumberFormat="1" applyFont="1" applyFill="1" applyBorder="1" applyAlignment="1">
      <alignment vertical="center"/>
    </xf>
    <xf numFmtId="0" fontId="14" fillId="0" borderId="0" xfId="0" applyFont="1" applyFill="1" applyAlignment="1">
      <alignment vertical="center" wrapText="1"/>
    </xf>
    <xf numFmtId="0" fontId="3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0" borderId="6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 wrapText="1"/>
    </xf>
    <xf numFmtId="0" fontId="17" fillId="0" borderId="7" xfId="0" applyFont="1" applyFill="1" applyBorder="1" applyAlignment="1">
      <alignment horizontal="center" vertical="center"/>
    </xf>
    <xf numFmtId="0" fontId="17" fillId="0" borderId="12" xfId="0" applyFont="1" applyFill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0" fontId="17" fillId="0" borderId="7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/>
    </xf>
    <xf numFmtId="0" fontId="18" fillId="0" borderId="7" xfId="0" applyFont="1" applyFill="1" applyBorder="1" applyAlignment="1">
      <alignment horizontal="center" vertical="center"/>
    </xf>
    <xf numFmtId="0" fontId="18" fillId="0" borderId="7" xfId="0" applyFont="1" applyFill="1" applyBorder="1" applyAlignment="1">
      <alignment vertical="center"/>
    </xf>
    <xf numFmtId="0" fontId="10" fillId="0" borderId="9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8" fillId="0" borderId="10" xfId="0" applyFont="1" applyFill="1" applyBorder="1" applyAlignment="1">
      <alignment vertical="center"/>
    </xf>
    <xf numFmtId="0" fontId="18" fillId="0" borderId="10" xfId="0" applyFont="1" applyFill="1" applyBorder="1" applyAlignment="1">
      <alignment horizontal="center" vertical="center"/>
    </xf>
    <xf numFmtId="0" fontId="19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6" fillId="0" borderId="7" xfId="0" applyFont="1" applyFill="1" applyBorder="1" applyAlignment="1">
      <alignment horizontal="center" vertical="center" wrapText="1"/>
    </xf>
    <xf numFmtId="0" fontId="21" fillId="0" borderId="7" xfId="0" applyFont="1" applyFill="1" applyBorder="1" applyAlignment="1">
      <alignment horizontal="center" vertical="center"/>
    </xf>
    <xf numFmtId="0" fontId="21" fillId="0" borderId="1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5" xfId="0" applyFont="1" applyFill="1" applyBorder="1" applyAlignment="1">
      <alignment horizontal="center" vertical="center" wrapText="1"/>
    </xf>
    <xf numFmtId="0" fontId="21" fillId="0" borderId="3" xfId="0" applyFont="1" applyFill="1" applyBorder="1" applyAlignment="1">
      <alignment horizontal="left" vertical="center"/>
    </xf>
    <xf numFmtId="0" fontId="21" fillId="0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horizontal="center" vertical="center" wrapText="1"/>
    </xf>
    <xf numFmtId="0" fontId="21" fillId="0" borderId="6" xfId="0" applyFont="1" applyFill="1" applyBorder="1" applyAlignment="1">
      <alignment horizontal="left" vertical="center"/>
    </xf>
    <xf numFmtId="0" fontId="21" fillId="0" borderId="7" xfId="0" applyFont="1" applyFill="1" applyBorder="1" applyAlignment="1">
      <alignment horizontal="left" vertical="center"/>
    </xf>
    <xf numFmtId="0" fontId="23" fillId="0" borderId="14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/>
    </xf>
    <xf numFmtId="0" fontId="23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 wrapText="1"/>
    </xf>
    <xf numFmtId="0" fontId="24" fillId="0" borderId="18" xfId="0" applyFont="1" applyFill="1" applyBorder="1" applyAlignment="1">
      <alignment horizontal="center" vertical="center"/>
    </xf>
    <xf numFmtId="178" fontId="12" fillId="0" borderId="8" xfId="0" applyNumberFormat="1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/>
    </xf>
    <xf numFmtId="178" fontId="12" fillId="0" borderId="11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left" vertical="center" wrapText="1"/>
    </xf>
    <xf numFmtId="0" fontId="18" fillId="0" borderId="0" xfId="0" applyFont="1" applyFill="1" applyAlignment="1">
      <alignment horizontal="left" vertical="center"/>
    </xf>
    <xf numFmtId="0" fontId="1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21" fillId="0" borderId="5" xfId="0" applyFont="1" applyFill="1" applyBorder="1" applyAlignment="1">
      <alignment horizontal="left" vertical="center"/>
    </xf>
    <xf numFmtId="0" fontId="21" fillId="0" borderId="8" xfId="0" applyFont="1" applyFill="1" applyBorder="1" applyAlignment="1">
      <alignment horizontal="left" vertical="center"/>
    </xf>
    <xf numFmtId="0" fontId="21" fillId="0" borderId="20" xfId="0" applyFont="1" applyFill="1" applyBorder="1" applyAlignment="1">
      <alignment horizontal="center" vertical="center"/>
    </xf>
    <xf numFmtId="0" fontId="21" fillId="0" borderId="21" xfId="0" applyFont="1" applyFill="1" applyBorder="1" applyAlignment="1">
      <alignment horizontal="center" vertical="center"/>
    </xf>
    <xf numFmtId="0" fontId="17" fillId="0" borderId="8" xfId="0" applyFont="1" applyFill="1" applyBorder="1" applyAlignment="1">
      <alignment horizontal="center" vertical="center"/>
    </xf>
    <xf numFmtId="0" fontId="25" fillId="0" borderId="7" xfId="0" applyFont="1" applyFill="1" applyBorder="1" applyAlignment="1">
      <alignment vertical="center" wrapText="1"/>
    </xf>
    <xf numFmtId="0" fontId="25" fillId="0" borderId="7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0" fontId="3" fillId="0" borderId="0" xfId="0" applyFont="1" applyFill="1" applyAlignment="1"/>
    <xf numFmtId="0" fontId="4" fillId="0" borderId="22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/>
    <xf numFmtId="0" fontId="26" fillId="0" borderId="7" xfId="49" applyFont="1" applyBorder="1" applyAlignment="1">
      <alignment horizontal="left"/>
    </xf>
    <xf numFmtId="178" fontId="27" fillId="0" borderId="7" xfId="0" applyNumberFormat="1" applyFont="1" applyFill="1" applyBorder="1" applyAlignment="1">
      <alignment horizontal="center" vertical="center"/>
    </xf>
    <xf numFmtId="0" fontId="26" fillId="0" borderId="7" xfId="49" applyFont="1" applyBorder="1" applyAlignment="1"/>
    <xf numFmtId="0" fontId="11" fillId="0" borderId="0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7" fillId="0" borderId="20" xfId="0" applyFont="1" applyFill="1" applyBorder="1" applyAlignment="1">
      <alignment horizontal="center" vertical="center"/>
    </xf>
    <xf numFmtId="0" fontId="17" fillId="0" borderId="15" xfId="0" applyFont="1" applyFill="1" applyBorder="1" applyAlignment="1">
      <alignment horizontal="center" vertical="center"/>
    </xf>
    <xf numFmtId="0" fontId="17" fillId="0" borderId="19" xfId="0" applyFont="1" applyFill="1" applyBorder="1" applyAlignment="1">
      <alignment horizontal="center" vertical="center"/>
    </xf>
    <xf numFmtId="0" fontId="28" fillId="0" borderId="6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178" fontId="27" fillId="0" borderId="8" xfId="0" applyNumberFormat="1" applyFont="1" applyFill="1" applyBorder="1" applyAlignment="1">
      <alignment horizontal="center" vertical="center"/>
    </xf>
    <xf numFmtId="0" fontId="21" fillId="0" borderId="7" xfId="0" applyFont="1" applyFill="1" applyBorder="1" applyAlignment="1">
      <alignment vertical="center"/>
    </xf>
    <xf numFmtId="0" fontId="11" fillId="0" borderId="10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178" fontId="27" fillId="0" borderId="11" xfId="0" applyNumberFormat="1" applyFont="1" applyFill="1" applyBorder="1" applyAlignment="1">
      <alignment horizontal="center" vertical="center"/>
    </xf>
    <xf numFmtId="0" fontId="3" fillId="0" borderId="10" xfId="0" applyFont="1" applyFill="1" applyBorder="1" applyAlignment="1"/>
    <xf numFmtId="0" fontId="26" fillId="0" borderId="10" xfId="49" applyFont="1" applyBorder="1" applyAlignment="1"/>
    <xf numFmtId="178" fontId="27" fillId="0" borderId="10" xfId="0" applyNumberFormat="1" applyFont="1" applyFill="1" applyBorder="1" applyAlignment="1">
      <alignment horizontal="center" vertical="center"/>
    </xf>
    <xf numFmtId="0" fontId="28" fillId="0" borderId="23" xfId="0" applyFont="1" applyFill="1" applyBorder="1" applyAlignment="1">
      <alignment horizontal="center" vertical="center"/>
    </xf>
    <xf numFmtId="0" fontId="28" fillId="0" borderId="24" xfId="0" applyFont="1" applyFill="1" applyBorder="1" applyAlignment="1">
      <alignment horizontal="center" vertical="center"/>
    </xf>
    <xf numFmtId="0" fontId="11" fillId="0" borderId="7" xfId="49" applyNumberFormat="1" applyFont="1" applyBorder="1" applyAlignment="1">
      <alignment horizontal="center" vertical="center"/>
    </xf>
    <xf numFmtId="0" fontId="11" fillId="0" borderId="7" xfId="49" applyFont="1" applyBorder="1" applyAlignment="1">
      <alignment horizontal="center" vertical="center"/>
    </xf>
    <xf numFmtId="0" fontId="11" fillId="0" borderId="10" xfId="49" applyNumberFormat="1" applyFont="1" applyBorder="1" applyAlignment="1">
      <alignment horizontal="center" vertical="center"/>
    </xf>
    <xf numFmtId="0" fontId="11" fillId="0" borderId="10" xfId="49" applyFont="1" applyBorder="1" applyAlignment="1">
      <alignment horizontal="center" vertical="center"/>
    </xf>
    <xf numFmtId="0" fontId="11" fillId="0" borderId="7" xfId="49" applyFont="1" applyBorder="1" applyAlignment="1" quotePrefix="1">
      <alignment horizontal="center" vertical="center"/>
    </xf>
    <xf numFmtId="0" fontId="11" fillId="0" borderId="10" xfId="49" applyFont="1" applyBorder="1" applyAlignment="1" quotePrefix="1">
      <alignment horizontal="center" vertical="center"/>
    </xf>
    <xf numFmtId="0" fontId="11" fillId="0" borderId="7" xfId="0" applyFont="1" applyFill="1" applyBorder="1" applyAlignment="1" quotePrefix="1">
      <alignment horizontal="center" vertical="center"/>
    </xf>
    <xf numFmtId="0" fontId="11" fillId="0" borderId="10" xfId="0" applyFont="1" applyFill="1" applyBorder="1" applyAlignment="1" quotePrefix="1">
      <alignment horizontal="center" vertical="center"/>
    </xf>
    <xf numFmtId="0" fontId="13" fillId="0" borderId="10" xfId="0" applyFont="1" applyFill="1" applyBorder="1" applyAlignment="1" quotePrefix="1">
      <alignment horizontal="center" vertical="center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2 2" xfId="50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?>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64</xdr:row>
          <xdr:rowOff>114300</xdr:rowOff>
        </xdr:from>
        <xdr:to>
          <xdr:col>1</xdr:col>
          <xdr:colOff>892002</xdr:colOff>
          <xdr:row>65</xdr:row>
          <xdr:rowOff>114300</xdr:rowOff>
        </xdr:to>
        <xdr:sp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11458575"/>
              <a:ext cx="1402715" cy="171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emf"/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S61"/>
  <sheetViews>
    <sheetView view="pageBreakPreview" zoomScaleNormal="100" topLeftCell="N16" workbookViewId="0">
      <selection activeCell="AJ1" sqref="AJ1:AS59"/>
    </sheetView>
  </sheetViews>
  <sheetFormatPr defaultColWidth="9" defaultRowHeight="13.5"/>
  <cols>
    <col min="1" max="1" width="5.3716814159292" style="93" customWidth="1"/>
    <col min="2" max="2" width="12.3716814159292" style="93" customWidth="1"/>
    <col min="3" max="3" width="9.75221238938053" style="93" customWidth="1"/>
    <col min="4" max="7" width="11.6283185840708" style="93" customWidth="1"/>
    <col min="8" max="8" width="9" style="93"/>
    <col min="9" max="9" width="4.12389380530973" style="93" customWidth="1"/>
    <col min="10" max="10" width="12" style="93" customWidth="1"/>
    <col min="11" max="11" width="8" style="93" customWidth="1"/>
    <col min="12" max="12" width="9" style="93"/>
    <col min="13" max="32" width="3.6283185840708" style="93" customWidth="1"/>
    <col min="33" max="35" width="9" style="93"/>
    <col min="36" max="36" width="4.6283185840708" style="93" customWidth="1"/>
    <col min="37" max="37" width="11.7522123893805" style="93" customWidth="1"/>
    <col min="38" max="16384" width="9" style="93"/>
  </cols>
  <sheetData>
    <row r="1" ht="47.25" customHeight="1" spans="1:45">
      <c r="A1" s="94" t="s">
        <v>0</v>
      </c>
      <c r="B1" s="94"/>
      <c r="C1" s="94"/>
      <c r="D1" s="94"/>
      <c r="E1" s="94"/>
      <c r="F1" s="94"/>
      <c r="G1" s="94"/>
      <c r="H1" s="7"/>
      <c r="I1" s="34" t="s">
        <v>1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7"/>
      <c r="AI1" s="7"/>
      <c r="AJ1" s="59" t="s">
        <v>2</v>
      </c>
      <c r="AK1" s="59"/>
      <c r="AL1" s="59"/>
      <c r="AM1" s="59"/>
      <c r="AN1" s="59"/>
      <c r="AO1" s="59"/>
      <c r="AP1" s="59"/>
      <c r="AQ1" s="59"/>
      <c r="AR1" s="59"/>
      <c r="AS1" s="59"/>
    </row>
    <row r="2" ht="14.25" customHeight="1" spans="1:45">
      <c r="A2" s="10" t="s">
        <v>3</v>
      </c>
      <c r="B2" s="11"/>
      <c r="C2" s="11"/>
      <c r="D2" s="11"/>
      <c r="E2" s="11"/>
      <c r="F2" s="11"/>
      <c r="G2" s="12"/>
      <c r="H2" s="7"/>
      <c r="I2" s="35" t="s">
        <v>4</v>
      </c>
      <c r="J2" s="36"/>
      <c r="K2" s="36" t="s">
        <v>5</v>
      </c>
      <c r="L2" s="36" t="s">
        <v>6</v>
      </c>
      <c r="M2" s="36">
        <v>2</v>
      </c>
      <c r="N2" s="36"/>
      <c r="O2" s="36" t="s">
        <v>7</v>
      </c>
      <c r="P2" s="36"/>
      <c r="Q2" s="36"/>
      <c r="R2" s="36" t="s">
        <v>8</v>
      </c>
      <c r="S2" s="36"/>
      <c r="T2" s="36"/>
      <c r="U2" s="36"/>
      <c r="V2" s="36"/>
      <c r="W2" s="36"/>
      <c r="X2" s="36"/>
      <c r="Y2" s="36"/>
      <c r="Z2" s="36"/>
      <c r="AA2" s="36"/>
      <c r="AB2" s="36"/>
      <c r="AC2" s="36" t="s">
        <v>9</v>
      </c>
      <c r="AD2" s="36"/>
      <c r="AE2" s="36"/>
      <c r="AF2" s="36"/>
      <c r="AG2" s="61" t="s">
        <v>10</v>
      </c>
      <c r="AH2" s="7"/>
      <c r="AI2" s="7"/>
      <c r="AJ2" s="62" t="s">
        <v>11</v>
      </c>
      <c r="AK2" s="63"/>
      <c r="AL2" s="63"/>
      <c r="AM2" s="63"/>
      <c r="AN2" s="63"/>
      <c r="AO2" s="63"/>
      <c r="AP2" s="63"/>
      <c r="AQ2" s="63"/>
      <c r="AR2" s="63"/>
      <c r="AS2" s="84"/>
    </row>
    <row r="3" ht="54" customHeight="1" spans="1:45">
      <c r="A3" s="13" t="s">
        <v>12</v>
      </c>
      <c r="B3" s="14" t="s">
        <v>13</v>
      </c>
      <c r="C3" s="14" t="s">
        <v>14</v>
      </c>
      <c r="D3" s="15" t="s">
        <v>15</v>
      </c>
      <c r="E3" s="15" t="s">
        <v>16</v>
      </c>
      <c r="F3" s="15" t="s">
        <v>17</v>
      </c>
      <c r="G3" s="95" t="s">
        <v>18</v>
      </c>
      <c r="H3" s="7"/>
      <c r="I3" s="37" t="s">
        <v>19</v>
      </c>
      <c r="J3" s="38"/>
      <c r="K3" s="38" t="s">
        <v>20</v>
      </c>
      <c r="L3" s="38" t="s">
        <v>21</v>
      </c>
      <c r="M3" s="38" t="s">
        <v>22</v>
      </c>
      <c r="N3" s="38"/>
      <c r="O3" s="38"/>
      <c r="P3" s="38"/>
      <c r="Q3" s="38"/>
      <c r="R3" s="38" t="s">
        <v>23</v>
      </c>
      <c r="S3" s="38"/>
      <c r="T3" s="38"/>
      <c r="U3" s="38"/>
      <c r="V3" s="56" t="s">
        <v>24</v>
      </c>
      <c r="W3" s="56"/>
      <c r="X3" s="56"/>
      <c r="Y3" s="56"/>
      <c r="Z3" s="56"/>
      <c r="AA3" s="56"/>
      <c r="AB3" s="56"/>
      <c r="AC3" s="38" t="s">
        <v>25</v>
      </c>
      <c r="AD3" s="38"/>
      <c r="AE3" s="38"/>
      <c r="AF3" s="38"/>
      <c r="AG3" s="64" t="s">
        <v>26</v>
      </c>
      <c r="AH3" s="7"/>
      <c r="AI3" s="7"/>
      <c r="AJ3" s="65" t="s">
        <v>27</v>
      </c>
      <c r="AK3" s="66"/>
      <c r="AL3" s="66"/>
      <c r="AM3" s="66"/>
      <c r="AN3" s="66"/>
      <c r="AO3" s="66"/>
      <c r="AP3" s="66"/>
      <c r="AQ3" s="66"/>
      <c r="AR3" s="66"/>
      <c r="AS3" s="85"/>
    </row>
    <row r="4" ht="20.1" customHeight="1" spans="1:45">
      <c r="A4" s="17">
        <v>1</v>
      </c>
      <c r="B4" s="117">
        <v>2018130001</v>
      </c>
      <c r="C4" s="121" t="s">
        <v>28</v>
      </c>
      <c r="D4" s="96"/>
      <c r="E4" s="97"/>
      <c r="F4" s="98"/>
      <c r="G4" s="21" t="e">
        <f t="shared" ref="G4:G48" si="0">C4*25%+E4*37.5%+F4*37.5%</f>
        <v>#VALUE!</v>
      </c>
      <c r="H4" s="7"/>
      <c r="I4" s="39" t="s">
        <v>29</v>
      </c>
      <c r="J4" s="40" t="s">
        <v>13</v>
      </c>
      <c r="K4" s="102" t="s">
        <v>14</v>
      </c>
      <c r="L4" s="103" t="s">
        <v>30</v>
      </c>
      <c r="M4" s="40" t="s">
        <v>31</v>
      </c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67" t="s">
        <v>32</v>
      </c>
      <c r="AH4" s="7"/>
      <c r="AI4" s="7"/>
      <c r="AJ4" s="68" t="s">
        <v>29</v>
      </c>
      <c r="AK4" s="69" t="s">
        <v>13</v>
      </c>
      <c r="AL4" s="69" t="s">
        <v>14</v>
      </c>
      <c r="AM4" s="86" t="s">
        <v>33</v>
      </c>
      <c r="AN4" s="87"/>
      <c r="AO4" s="87"/>
      <c r="AP4" s="87"/>
      <c r="AQ4" s="87"/>
      <c r="AR4" s="87"/>
      <c r="AS4" s="88" t="s">
        <v>34</v>
      </c>
    </row>
    <row r="5" ht="20.1" customHeight="1" spans="1:45">
      <c r="A5" s="17">
        <v>2</v>
      </c>
      <c r="B5" s="117">
        <v>2018130002</v>
      </c>
      <c r="C5" s="121" t="s">
        <v>35</v>
      </c>
      <c r="D5" s="96"/>
      <c r="E5" s="99"/>
      <c r="F5" s="98"/>
      <c r="G5" s="21" t="e">
        <f t="shared" si="0"/>
        <v>#VALUE!</v>
      </c>
      <c r="H5" s="7"/>
      <c r="I5" s="39"/>
      <c r="J5" s="40"/>
      <c r="K5" s="102"/>
      <c r="L5" s="104"/>
      <c r="M5" s="43">
        <v>1</v>
      </c>
      <c r="N5" s="43">
        <v>2</v>
      </c>
      <c r="O5" s="43">
        <v>3</v>
      </c>
      <c r="P5" s="43">
        <v>4</v>
      </c>
      <c r="Q5" s="43">
        <v>5</v>
      </c>
      <c r="R5" s="43">
        <v>6</v>
      </c>
      <c r="S5" s="43">
        <v>7</v>
      </c>
      <c r="T5" s="43">
        <v>8</v>
      </c>
      <c r="U5" s="43">
        <v>9</v>
      </c>
      <c r="V5" s="43">
        <v>10</v>
      </c>
      <c r="W5" s="43">
        <v>11</v>
      </c>
      <c r="X5" s="43">
        <v>12</v>
      </c>
      <c r="Y5" s="43">
        <v>13</v>
      </c>
      <c r="Z5" s="43">
        <v>14</v>
      </c>
      <c r="AA5" s="43">
        <v>15</v>
      </c>
      <c r="AB5" s="43">
        <v>16</v>
      </c>
      <c r="AC5" s="43">
        <v>17</v>
      </c>
      <c r="AD5" s="43">
        <v>18</v>
      </c>
      <c r="AE5" s="43">
        <v>19</v>
      </c>
      <c r="AF5" s="43">
        <v>20</v>
      </c>
      <c r="AG5" s="70"/>
      <c r="AH5" s="7"/>
      <c r="AI5" s="7"/>
      <c r="AJ5" s="71"/>
      <c r="AK5" s="72"/>
      <c r="AL5" s="72"/>
      <c r="AM5" s="40">
        <v>1</v>
      </c>
      <c r="AN5" s="40">
        <v>2</v>
      </c>
      <c r="AO5" s="40">
        <v>3</v>
      </c>
      <c r="AP5" s="40">
        <v>4</v>
      </c>
      <c r="AQ5" s="40">
        <v>5</v>
      </c>
      <c r="AR5" s="40">
        <v>6</v>
      </c>
      <c r="AS5" s="88"/>
    </row>
    <row r="6" ht="20.1" customHeight="1" spans="1:45">
      <c r="A6" s="17">
        <v>3</v>
      </c>
      <c r="B6" s="117">
        <v>2018130003</v>
      </c>
      <c r="C6" s="121" t="s">
        <v>36</v>
      </c>
      <c r="D6" s="96"/>
      <c r="E6" s="99"/>
      <c r="F6" s="98"/>
      <c r="G6" s="21" t="e">
        <f t="shared" si="0"/>
        <v>#VALUE!</v>
      </c>
      <c r="H6" s="7"/>
      <c r="I6" s="17">
        <v>1</v>
      </c>
      <c r="J6" s="117">
        <v>2018130001</v>
      </c>
      <c r="K6" s="121" t="s">
        <v>28</v>
      </c>
      <c r="L6" s="105" t="s">
        <v>37</v>
      </c>
      <c r="M6" s="45"/>
      <c r="N6" s="45"/>
      <c r="O6" s="45"/>
      <c r="P6" s="45"/>
      <c r="Q6" s="45"/>
      <c r="R6" s="45"/>
      <c r="S6" s="45"/>
      <c r="T6" s="45"/>
      <c r="U6" s="45"/>
      <c r="V6" s="57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107"/>
      <c r="AH6" s="7"/>
      <c r="AI6" s="7"/>
      <c r="AJ6" s="71"/>
      <c r="AK6" s="72"/>
      <c r="AL6" s="72"/>
      <c r="AM6" s="86" t="s">
        <v>38</v>
      </c>
      <c r="AN6" s="87"/>
      <c r="AO6" s="87"/>
      <c r="AP6" s="87"/>
      <c r="AQ6" s="87"/>
      <c r="AR6" s="87"/>
      <c r="AS6" s="88"/>
    </row>
    <row r="7" ht="20.1" customHeight="1" spans="1:45">
      <c r="A7" s="17">
        <v>4</v>
      </c>
      <c r="B7" s="117">
        <v>2018130004</v>
      </c>
      <c r="C7" s="121" t="s">
        <v>39</v>
      </c>
      <c r="D7" s="96"/>
      <c r="E7" s="99"/>
      <c r="F7" s="98"/>
      <c r="G7" s="21" t="e">
        <f t="shared" si="0"/>
        <v>#VALUE!</v>
      </c>
      <c r="H7" s="7"/>
      <c r="I7" s="17">
        <v>2</v>
      </c>
      <c r="J7" s="117">
        <v>2018130002</v>
      </c>
      <c r="K7" s="121" t="s">
        <v>35</v>
      </c>
      <c r="L7" s="105" t="s">
        <v>37</v>
      </c>
      <c r="M7" s="45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107"/>
      <c r="AH7" s="7"/>
      <c r="AI7" s="7"/>
      <c r="AJ7" s="74"/>
      <c r="AK7" s="75"/>
      <c r="AL7" s="75"/>
      <c r="AM7" s="108"/>
      <c r="AN7" s="108"/>
      <c r="AO7" s="108"/>
      <c r="AP7" s="108"/>
      <c r="AQ7" s="108"/>
      <c r="AR7" s="108"/>
      <c r="AS7" s="88"/>
    </row>
    <row r="8" ht="20.1" customHeight="1" spans="1:45">
      <c r="A8" s="17">
        <v>5</v>
      </c>
      <c r="B8" s="117">
        <v>2018130005</v>
      </c>
      <c r="C8" s="121" t="s">
        <v>40</v>
      </c>
      <c r="D8" s="96"/>
      <c r="E8" s="99"/>
      <c r="F8" s="98"/>
      <c r="G8" s="21" t="e">
        <f t="shared" si="0"/>
        <v>#VALUE!</v>
      </c>
      <c r="H8" s="7"/>
      <c r="I8" s="17">
        <v>3</v>
      </c>
      <c r="J8" s="117">
        <v>2018130003</v>
      </c>
      <c r="K8" s="121" t="s">
        <v>36</v>
      </c>
      <c r="L8" s="105" t="s">
        <v>37</v>
      </c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107"/>
      <c r="AH8" s="7"/>
      <c r="AI8" s="7"/>
      <c r="AJ8" s="17">
        <v>1</v>
      </c>
      <c r="AK8" s="117">
        <v>2018130001</v>
      </c>
      <c r="AL8" s="121" t="s">
        <v>28</v>
      </c>
      <c r="AM8" s="45"/>
      <c r="AN8" s="45"/>
      <c r="AO8" s="45"/>
      <c r="AP8" s="45"/>
      <c r="AQ8" s="45"/>
      <c r="AR8" s="45"/>
      <c r="AS8" s="107"/>
    </row>
    <row r="9" ht="20.1" customHeight="1" spans="1:45">
      <c r="A9" s="17">
        <v>6</v>
      </c>
      <c r="B9" s="117">
        <v>2018130006</v>
      </c>
      <c r="C9" s="121" t="s">
        <v>41</v>
      </c>
      <c r="D9" s="96"/>
      <c r="E9" s="99"/>
      <c r="F9" s="98"/>
      <c r="G9" s="21" t="e">
        <f t="shared" si="0"/>
        <v>#VALUE!</v>
      </c>
      <c r="H9" s="7"/>
      <c r="I9" s="17">
        <v>4</v>
      </c>
      <c r="J9" s="117">
        <v>2018130004</v>
      </c>
      <c r="K9" s="121" t="s">
        <v>39</v>
      </c>
      <c r="L9" s="105" t="s">
        <v>37</v>
      </c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107"/>
      <c r="AH9" s="7"/>
      <c r="AI9" s="7"/>
      <c r="AJ9" s="17">
        <v>2</v>
      </c>
      <c r="AK9" s="117">
        <v>2018130002</v>
      </c>
      <c r="AL9" s="121" t="s">
        <v>35</v>
      </c>
      <c r="AM9" s="45"/>
      <c r="AN9" s="45"/>
      <c r="AO9" s="45"/>
      <c r="AP9" s="45"/>
      <c r="AQ9" s="45"/>
      <c r="AR9" s="45"/>
      <c r="AS9" s="107"/>
    </row>
    <row r="10" ht="20.1" customHeight="1" spans="1:45">
      <c r="A10" s="17">
        <v>7</v>
      </c>
      <c r="B10" s="117">
        <v>2018130007</v>
      </c>
      <c r="C10" s="121" t="s">
        <v>42</v>
      </c>
      <c r="D10" s="96"/>
      <c r="E10" s="99"/>
      <c r="F10" s="98"/>
      <c r="G10" s="21" t="e">
        <f t="shared" si="0"/>
        <v>#VALUE!</v>
      </c>
      <c r="H10" s="7"/>
      <c r="I10" s="17">
        <v>5</v>
      </c>
      <c r="J10" s="117">
        <v>2018130005</v>
      </c>
      <c r="K10" s="121" t="s">
        <v>40</v>
      </c>
      <c r="L10" s="105" t="s">
        <v>37</v>
      </c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107"/>
      <c r="AH10" s="7"/>
      <c r="AI10" s="7"/>
      <c r="AJ10" s="17">
        <v>3</v>
      </c>
      <c r="AK10" s="117">
        <v>2018130003</v>
      </c>
      <c r="AL10" s="121" t="s">
        <v>36</v>
      </c>
      <c r="AM10" s="45"/>
      <c r="AN10" s="45"/>
      <c r="AO10" s="45"/>
      <c r="AP10" s="45"/>
      <c r="AQ10" s="45"/>
      <c r="AR10" s="45"/>
      <c r="AS10" s="107"/>
    </row>
    <row r="11" ht="20.1" customHeight="1" spans="1:45">
      <c r="A11" s="17">
        <v>8</v>
      </c>
      <c r="B11" s="117">
        <v>2018130008</v>
      </c>
      <c r="C11" s="121" t="s">
        <v>43</v>
      </c>
      <c r="D11" s="96"/>
      <c r="E11" s="99"/>
      <c r="F11" s="98"/>
      <c r="G11" s="21" t="e">
        <f t="shared" si="0"/>
        <v>#VALUE!</v>
      </c>
      <c r="H11" s="7"/>
      <c r="I11" s="17">
        <v>6</v>
      </c>
      <c r="J11" s="117">
        <v>2018130006</v>
      </c>
      <c r="K11" s="121" t="s">
        <v>41</v>
      </c>
      <c r="L11" s="105" t="s">
        <v>37</v>
      </c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107"/>
      <c r="AH11" s="7"/>
      <c r="AI11" s="7"/>
      <c r="AJ11" s="17">
        <v>4</v>
      </c>
      <c r="AK11" s="117">
        <v>2018130004</v>
      </c>
      <c r="AL11" s="121" t="s">
        <v>39</v>
      </c>
      <c r="AM11" s="45"/>
      <c r="AN11" s="45"/>
      <c r="AO11" s="45"/>
      <c r="AP11" s="45"/>
      <c r="AQ11" s="45"/>
      <c r="AR11" s="45"/>
      <c r="AS11" s="107"/>
    </row>
    <row r="12" ht="20.1" customHeight="1" spans="1:45">
      <c r="A12" s="17">
        <v>9</v>
      </c>
      <c r="B12" s="117">
        <v>2018130009</v>
      </c>
      <c r="C12" s="121" t="s">
        <v>44</v>
      </c>
      <c r="D12" s="96"/>
      <c r="E12" s="99"/>
      <c r="F12" s="98"/>
      <c r="G12" s="21" t="e">
        <f t="shared" si="0"/>
        <v>#VALUE!</v>
      </c>
      <c r="H12" s="7"/>
      <c r="I12" s="17">
        <v>7</v>
      </c>
      <c r="J12" s="117">
        <v>2018130007</v>
      </c>
      <c r="K12" s="121" t="s">
        <v>42</v>
      </c>
      <c r="L12" s="105" t="s">
        <v>37</v>
      </c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107"/>
      <c r="AH12" s="7"/>
      <c r="AI12" s="7"/>
      <c r="AJ12" s="17">
        <v>5</v>
      </c>
      <c r="AK12" s="117">
        <v>2018130005</v>
      </c>
      <c r="AL12" s="121" t="s">
        <v>40</v>
      </c>
      <c r="AM12" s="45"/>
      <c r="AN12" s="45"/>
      <c r="AO12" s="45"/>
      <c r="AP12" s="45"/>
      <c r="AQ12" s="45"/>
      <c r="AR12" s="45"/>
      <c r="AS12" s="107"/>
    </row>
    <row r="13" ht="20.1" customHeight="1" spans="1:45">
      <c r="A13" s="17">
        <v>10</v>
      </c>
      <c r="B13" s="117">
        <v>2018130010</v>
      </c>
      <c r="C13" s="121" t="s">
        <v>45</v>
      </c>
      <c r="D13" s="96"/>
      <c r="E13" s="99"/>
      <c r="F13" s="98"/>
      <c r="G13" s="21" t="e">
        <f t="shared" si="0"/>
        <v>#VALUE!</v>
      </c>
      <c r="H13" s="7"/>
      <c r="I13" s="17">
        <v>8</v>
      </c>
      <c r="J13" s="117">
        <v>2018130008</v>
      </c>
      <c r="K13" s="121" t="s">
        <v>43</v>
      </c>
      <c r="L13" s="105" t="s">
        <v>37</v>
      </c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107"/>
      <c r="AH13" s="7"/>
      <c r="AI13" s="7"/>
      <c r="AJ13" s="17">
        <v>6</v>
      </c>
      <c r="AK13" s="117">
        <v>2018130006</v>
      </c>
      <c r="AL13" s="121" t="s">
        <v>41</v>
      </c>
      <c r="AM13" s="45"/>
      <c r="AN13" s="45"/>
      <c r="AO13" s="45"/>
      <c r="AP13" s="45"/>
      <c r="AQ13" s="45"/>
      <c r="AR13" s="45"/>
      <c r="AS13" s="107"/>
    </row>
    <row r="14" ht="20.1" customHeight="1" spans="1:45">
      <c r="A14" s="17">
        <v>11</v>
      </c>
      <c r="B14" s="117">
        <v>2018130011</v>
      </c>
      <c r="C14" s="121" t="s">
        <v>46</v>
      </c>
      <c r="D14" s="96"/>
      <c r="E14" s="99"/>
      <c r="F14" s="98"/>
      <c r="G14" s="21" t="e">
        <f t="shared" si="0"/>
        <v>#VALUE!</v>
      </c>
      <c r="H14" s="7"/>
      <c r="I14" s="17">
        <v>9</v>
      </c>
      <c r="J14" s="117">
        <v>2018130009</v>
      </c>
      <c r="K14" s="121" t="s">
        <v>44</v>
      </c>
      <c r="L14" s="105" t="s">
        <v>37</v>
      </c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107"/>
      <c r="AH14" s="7"/>
      <c r="AI14" s="7"/>
      <c r="AJ14" s="17">
        <v>7</v>
      </c>
      <c r="AK14" s="117">
        <v>2018130007</v>
      </c>
      <c r="AL14" s="121" t="s">
        <v>42</v>
      </c>
      <c r="AM14" s="45"/>
      <c r="AN14" s="45"/>
      <c r="AO14" s="45"/>
      <c r="AP14" s="45"/>
      <c r="AQ14" s="45"/>
      <c r="AR14" s="45"/>
      <c r="AS14" s="107"/>
    </row>
    <row r="15" ht="20.1" customHeight="1" spans="1:45">
      <c r="A15" s="17">
        <v>12</v>
      </c>
      <c r="B15" s="117">
        <v>2018130012</v>
      </c>
      <c r="C15" s="121" t="s">
        <v>47</v>
      </c>
      <c r="D15" s="96"/>
      <c r="E15" s="99"/>
      <c r="F15" s="98"/>
      <c r="G15" s="21" t="e">
        <f t="shared" si="0"/>
        <v>#VALUE!</v>
      </c>
      <c r="H15" s="7"/>
      <c r="I15" s="17">
        <v>10</v>
      </c>
      <c r="J15" s="117">
        <v>2018130010</v>
      </c>
      <c r="K15" s="121" t="s">
        <v>45</v>
      </c>
      <c r="L15" s="105" t="s">
        <v>37</v>
      </c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107"/>
      <c r="AH15" s="7"/>
      <c r="AI15" s="7"/>
      <c r="AJ15" s="17">
        <v>8</v>
      </c>
      <c r="AK15" s="117">
        <v>2018130008</v>
      </c>
      <c r="AL15" s="121" t="s">
        <v>43</v>
      </c>
      <c r="AM15" s="45"/>
      <c r="AN15" s="45"/>
      <c r="AO15" s="45"/>
      <c r="AP15" s="45"/>
      <c r="AQ15" s="45"/>
      <c r="AR15" s="45"/>
      <c r="AS15" s="107"/>
    </row>
    <row r="16" ht="20.1" customHeight="1" spans="1:45">
      <c r="A16" s="17">
        <v>13</v>
      </c>
      <c r="B16" s="117">
        <v>2018130013</v>
      </c>
      <c r="C16" s="121" t="s">
        <v>48</v>
      </c>
      <c r="D16" s="96"/>
      <c r="E16" s="99"/>
      <c r="F16" s="98"/>
      <c r="G16" s="21" t="e">
        <f t="shared" si="0"/>
        <v>#VALUE!</v>
      </c>
      <c r="H16" s="7"/>
      <c r="I16" s="17">
        <v>11</v>
      </c>
      <c r="J16" s="117">
        <v>2018130011</v>
      </c>
      <c r="K16" s="121" t="s">
        <v>46</v>
      </c>
      <c r="L16" s="105" t="s">
        <v>37</v>
      </c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107"/>
      <c r="AH16" s="7"/>
      <c r="AI16" s="7"/>
      <c r="AJ16" s="17">
        <v>9</v>
      </c>
      <c r="AK16" s="117">
        <v>2018130009</v>
      </c>
      <c r="AL16" s="121" t="s">
        <v>44</v>
      </c>
      <c r="AM16" s="45"/>
      <c r="AN16" s="45"/>
      <c r="AO16" s="45"/>
      <c r="AP16" s="45"/>
      <c r="AQ16" s="45"/>
      <c r="AR16" s="45"/>
      <c r="AS16" s="107"/>
    </row>
    <row r="17" ht="20.1" customHeight="1" spans="1:45">
      <c r="A17" s="17">
        <v>14</v>
      </c>
      <c r="B17" s="117">
        <v>2018130014</v>
      </c>
      <c r="C17" s="121" t="s">
        <v>49</v>
      </c>
      <c r="D17" s="96"/>
      <c r="E17" s="99"/>
      <c r="F17" s="98"/>
      <c r="G17" s="21" t="e">
        <f t="shared" si="0"/>
        <v>#VALUE!</v>
      </c>
      <c r="H17" s="7"/>
      <c r="I17" s="17">
        <v>12</v>
      </c>
      <c r="J17" s="117">
        <v>2018130012</v>
      </c>
      <c r="K17" s="121" t="s">
        <v>47</v>
      </c>
      <c r="L17" s="105" t="s">
        <v>37</v>
      </c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107"/>
      <c r="AH17" s="7"/>
      <c r="AI17" s="7"/>
      <c r="AJ17" s="17">
        <v>10</v>
      </c>
      <c r="AK17" s="117">
        <v>2018130010</v>
      </c>
      <c r="AL17" s="121" t="s">
        <v>45</v>
      </c>
      <c r="AM17" s="45"/>
      <c r="AN17" s="45"/>
      <c r="AO17" s="45"/>
      <c r="AP17" s="45"/>
      <c r="AQ17" s="45"/>
      <c r="AR17" s="45"/>
      <c r="AS17" s="107"/>
    </row>
    <row r="18" ht="20.1" customHeight="1" spans="1:45">
      <c r="A18" s="17">
        <v>15</v>
      </c>
      <c r="B18" s="117">
        <v>2018130015</v>
      </c>
      <c r="C18" s="121" t="s">
        <v>50</v>
      </c>
      <c r="D18" s="96"/>
      <c r="E18" s="99"/>
      <c r="F18" s="98"/>
      <c r="G18" s="21" t="e">
        <f t="shared" si="0"/>
        <v>#VALUE!</v>
      </c>
      <c r="H18" s="7"/>
      <c r="I18" s="17">
        <v>13</v>
      </c>
      <c r="J18" s="117">
        <v>2018130013</v>
      </c>
      <c r="K18" s="121" t="s">
        <v>48</v>
      </c>
      <c r="L18" s="105" t="s">
        <v>37</v>
      </c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107"/>
      <c r="AH18" s="7"/>
      <c r="AI18" s="7"/>
      <c r="AJ18" s="17">
        <v>11</v>
      </c>
      <c r="AK18" s="117">
        <v>2018130011</v>
      </c>
      <c r="AL18" s="121" t="s">
        <v>46</v>
      </c>
      <c r="AM18" s="45"/>
      <c r="AN18" s="45"/>
      <c r="AO18" s="45"/>
      <c r="AP18" s="45"/>
      <c r="AQ18" s="45"/>
      <c r="AR18" s="45"/>
      <c r="AS18" s="107"/>
    </row>
    <row r="19" ht="20.1" customHeight="1" spans="1:45">
      <c r="A19" s="17">
        <v>16</v>
      </c>
      <c r="B19" s="117">
        <v>2018130016</v>
      </c>
      <c r="C19" s="121" t="s">
        <v>51</v>
      </c>
      <c r="D19" s="96"/>
      <c r="E19" s="99"/>
      <c r="F19" s="98"/>
      <c r="G19" s="21" t="e">
        <f t="shared" si="0"/>
        <v>#VALUE!</v>
      </c>
      <c r="H19" s="7"/>
      <c r="I19" s="17">
        <v>14</v>
      </c>
      <c r="J19" s="117">
        <v>2018130014</v>
      </c>
      <c r="K19" s="121" t="s">
        <v>49</v>
      </c>
      <c r="L19" s="105" t="s">
        <v>37</v>
      </c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57"/>
      <c r="Y19" s="45"/>
      <c r="Z19" s="45"/>
      <c r="AA19" s="45"/>
      <c r="AB19" s="45"/>
      <c r="AC19" s="45"/>
      <c r="AD19" s="45"/>
      <c r="AE19" s="45"/>
      <c r="AF19" s="45"/>
      <c r="AG19" s="107"/>
      <c r="AH19" s="7"/>
      <c r="AI19" s="7"/>
      <c r="AJ19" s="17">
        <v>12</v>
      </c>
      <c r="AK19" s="117">
        <v>2018130012</v>
      </c>
      <c r="AL19" s="121" t="s">
        <v>47</v>
      </c>
      <c r="AM19" s="45"/>
      <c r="AN19" s="45"/>
      <c r="AO19" s="45"/>
      <c r="AP19" s="45"/>
      <c r="AQ19" s="45"/>
      <c r="AR19" s="45"/>
      <c r="AS19" s="107"/>
    </row>
    <row r="20" ht="20.1" customHeight="1" spans="1:45">
      <c r="A20" s="17">
        <v>17</v>
      </c>
      <c r="B20" s="117">
        <v>2018130017</v>
      </c>
      <c r="C20" s="121" t="s">
        <v>52</v>
      </c>
      <c r="D20" s="96"/>
      <c r="E20" s="99"/>
      <c r="F20" s="98"/>
      <c r="G20" s="21" t="e">
        <f t="shared" si="0"/>
        <v>#VALUE!</v>
      </c>
      <c r="H20" s="7"/>
      <c r="I20" s="17">
        <v>15</v>
      </c>
      <c r="J20" s="117">
        <v>2018130015</v>
      </c>
      <c r="K20" s="121" t="s">
        <v>50</v>
      </c>
      <c r="L20" s="105" t="s">
        <v>37</v>
      </c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107"/>
      <c r="AH20" s="7"/>
      <c r="AI20" s="7"/>
      <c r="AJ20" s="17">
        <v>13</v>
      </c>
      <c r="AK20" s="117">
        <v>2018130013</v>
      </c>
      <c r="AL20" s="121" t="s">
        <v>48</v>
      </c>
      <c r="AM20" s="45"/>
      <c r="AN20" s="45"/>
      <c r="AO20" s="45"/>
      <c r="AP20" s="45"/>
      <c r="AQ20" s="45"/>
      <c r="AR20" s="45"/>
      <c r="AS20" s="107"/>
    </row>
    <row r="21" ht="20.1" customHeight="1" spans="1:45">
      <c r="A21" s="17">
        <v>18</v>
      </c>
      <c r="B21" s="117">
        <v>2018130018</v>
      </c>
      <c r="C21" s="121" t="s">
        <v>53</v>
      </c>
      <c r="D21" s="96"/>
      <c r="E21" s="99"/>
      <c r="F21" s="98"/>
      <c r="G21" s="21" t="e">
        <f t="shared" si="0"/>
        <v>#VALUE!</v>
      </c>
      <c r="H21" s="7"/>
      <c r="I21" s="17">
        <v>16</v>
      </c>
      <c r="J21" s="117">
        <v>2018130016</v>
      </c>
      <c r="K21" s="121" t="s">
        <v>51</v>
      </c>
      <c r="L21" s="105" t="s">
        <v>37</v>
      </c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107"/>
      <c r="AH21" s="7"/>
      <c r="AI21" s="7"/>
      <c r="AJ21" s="17">
        <v>14</v>
      </c>
      <c r="AK21" s="117">
        <v>2018130014</v>
      </c>
      <c r="AL21" s="121" t="s">
        <v>49</v>
      </c>
      <c r="AM21" s="45"/>
      <c r="AN21" s="45"/>
      <c r="AO21" s="45"/>
      <c r="AP21" s="45"/>
      <c r="AQ21" s="45"/>
      <c r="AR21" s="45"/>
      <c r="AS21" s="107"/>
    </row>
    <row r="22" ht="20.1" customHeight="1" spans="1:45">
      <c r="A22" s="17">
        <v>19</v>
      </c>
      <c r="B22" s="117">
        <v>2018130019</v>
      </c>
      <c r="C22" s="121" t="s">
        <v>54</v>
      </c>
      <c r="D22" s="96"/>
      <c r="E22" s="99"/>
      <c r="F22" s="98"/>
      <c r="G22" s="21" t="e">
        <f t="shared" si="0"/>
        <v>#VALUE!</v>
      </c>
      <c r="H22" s="7"/>
      <c r="I22" s="17">
        <v>17</v>
      </c>
      <c r="J22" s="117">
        <v>2018130017</v>
      </c>
      <c r="K22" s="121" t="s">
        <v>52</v>
      </c>
      <c r="L22" s="105" t="s">
        <v>37</v>
      </c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107"/>
      <c r="AH22" s="7"/>
      <c r="AI22" s="7"/>
      <c r="AJ22" s="17">
        <v>15</v>
      </c>
      <c r="AK22" s="117">
        <v>2018130015</v>
      </c>
      <c r="AL22" s="121" t="s">
        <v>50</v>
      </c>
      <c r="AM22" s="45"/>
      <c r="AN22" s="45"/>
      <c r="AO22" s="45"/>
      <c r="AP22" s="45"/>
      <c r="AQ22" s="45"/>
      <c r="AR22" s="45"/>
      <c r="AS22" s="107"/>
    </row>
    <row r="23" ht="20.1" customHeight="1" spans="1:45">
      <c r="A23" s="17">
        <v>20</v>
      </c>
      <c r="B23" s="117">
        <v>2018130020</v>
      </c>
      <c r="C23" s="121" t="s">
        <v>55</v>
      </c>
      <c r="D23" s="96"/>
      <c r="E23" s="99"/>
      <c r="F23" s="98"/>
      <c r="G23" s="21" t="e">
        <f t="shared" si="0"/>
        <v>#VALUE!</v>
      </c>
      <c r="H23" s="7"/>
      <c r="I23" s="17">
        <v>18</v>
      </c>
      <c r="J23" s="117">
        <v>2018130018</v>
      </c>
      <c r="K23" s="121" t="s">
        <v>53</v>
      </c>
      <c r="L23" s="105" t="s">
        <v>37</v>
      </c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107"/>
      <c r="AH23" s="7"/>
      <c r="AI23" s="7"/>
      <c r="AJ23" s="17">
        <v>16</v>
      </c>
      <c r="AK23" s="117">
        <v>2018130016</v>
      </c>
      <c r="AL23" s="121" t="s">
        <v>51</v>
      </c>
      <c r="AM23" s="45"/>
      <c r="AN23" s="45"/>
      <c r="AO23" s="45"/>
      <c r="AP23" s="45"/>
      <c r="AQ23" s="45"/>
      <c r="AR23" s="45"/>
      <c r="AS23" s="107"/>
    </row>
    <row r="24" ht="20.1" customHeight="1" spans="1:45">
      <c r="A24" s="17">
        <v>21</v>
      </c>
      <c r="B24" s="117">
        <v>2018130021</v>
      </c>
      <c r="C24" s="121" t="s">
        <v>56</v>
      </c>
      <c r="D24" s="96"/>
      <c r="E24" s="99"/>
      <c r="F24" s="98"/>
      <c r="G24" s="21" t="e">
        <f t="shared" si="0"/>
        <v>#VALUE!</v>
      </c>
      <c r="H24" s="7"/>
      <c r="I24" s="17">
        <v>19</v>
      </c>
      <c r="J24" s="117">
        <v>2018130019</v>
      </c>
      <c r="K24" s="121" t="s">
        <v>54</v>
      </c>
      <c r="L24" s="105" t="s">
        <v>37</v>
      </c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107"/>
      <c r="AH24" s="7"/>
      <c r="AI24" s="7"/>
      <c r="AJ24" s="17">
        <v>17</v>
      </c>
      <c r="AK24" s="117">
        <v>2018130017</v>
      </c>
      <c r="AL24" s="121" t="s">
        <v>52</v>
      </c>
      <c r="AM24" s="45"/>
      <c r="AN24" s="45"/>
      <c r="AO24" s="45"/>
      <c r="AP24" s="45"/>
      <c r="AQ24" s="45"/>
      <c r="AR24" s="45"/>
      <c r="AS24" s="107"/>
    </row>
    <row r="25" ht="20.1" customHeight="1" spans="1:45">
      <c r="A25" s="17">
        <v>22</v>
      </c>
      <c r="B25" s="117">
        <v>2018130022</v>
      </c>
      <c r="C25" s="121" t="s">
        <v>57</v>
      </c>
      <c r="D25" s="96"/>
      <c r="E25" s="99"/>
      <c r="F25" s="98"/>
      <c r="G25" s="21" t="e">
        <f t="shared" si="0"/>
        <v>#VALUE!</v>
      </c>
      <c r="H25" s="7"/>
      <c r="I25" s="17">
        <v>20</v>
      </c>
      <c r="J25" s="117">
        <v>2018130020</v>
      </c>
      <c r="K25" s="121" t="s">
        <v>55</v>
      </c>
      <c r="L25" s="105" t="s">
        <v>37</v>
      </c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107"/>
      <c r="AH25" s="7"/>
      <c r="AI25" s="7"/>
      <c r="AJ25" s="17">
        <v>18</v>
      </c>
      <c r="AK25" s="117">
        <v>2018130018</v>
      </c>
      <c r="AL25" s="121" t="s">
        <v>53</v>
      </c>
      <c r="AM25" s="45"/>
      <c r="AN25" s="45"/>
      <c r="AO25" s="45"/>
      <c r="AP25" s="45"/>
      <c r="AQ25" s="45"/>
      <c r="AR25" s="45"/>
      <c r="AS25" s="107"/>
    </row>
    <row r="26" ht="20.1" customHeight="1" spans="1:45">
      <c r="A26" s="17">
        <v>23</v>
      </c>
      <c r="B26" s="117">
        <v>2018130024</v>
      </c>
      <c r="C26" s="121" t="s">
        <v>58</v>
      </c>
      <c r="D26" s="96"/>
      <c r="E26" s="99"/>
      <c r="F26" s="98"/>
      <c r="G26" s="21" t="e">
        <f t="shared" si="0"/>
        <v>#VALUE!</v>
      </c>
      <c r="H26" s="7"/>
      <c r="I26" s="17">
        <v>21</v>
      </c>
      <c r="J26" s="117">
        <v>2018130021</v>
      </c>
      <c r="K26" s="121" t="s">
        <v>56</v>
      </c>
      <c r="L26" s="105" t="s">
        <v>37</v>
      </c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107"/>
      <c r="AH26" s="7"/>
      <c r="AI26" s="7"/>
      <c r="AJ26" s="17">
        <v>19</v>
      </c>
      <c r="AK26" s="117">
        <v>2018130019</v>
      </c>
      <c r="AL26" s="121" t="s">
        <v>54</v>
      </c>
      <c r="AM26" s="45"/>
      <c r="AN26" s="45"/>
      <c r="AO26" s="45"/>
      <c r="AP26" s="45"/>
      <c r="AQ26" s="45"/>
      <c r="AR26" s="45"/>
      <c r="AS26" s="107"/>
    </row>
    <row r="27" ht="20.1" customHeight="1" spans="1:45">
      <c r="A27" s="17">
        <v>24</v>
      </c>
      <c r="B27" s="117">
        <v>2018130025</v>
      </c>
      <c r="C27" s="121" t="s">
        <v>59</v>
      </c>
      <c r="D27" s="96"/>
      <c r="E27" s="99"/>
      <c r="F27" s="98"/>
      <c r="G27" s="21" t="e">
        <f t="shared" si="0"/>
        <v>#VALUE!</v>
      </c>
      <c r="H27" s="7"/>
      <c r="I27" s="17">
        <v>22</v>
      </c>
      <c r="J27" s="117">
        <v>2018130022</v>
      </c>
      <c r="K27" s="121" t="s">
        <v>57</v>
      </c>
      <c r="L27" s="105" t="s">
        <v>37</v>
      </c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107"/>
      <c r="AH27" s="7"/>
      <c r="AI27" s="7"/>
      <c r="AJ27" s="17">
        <v>20</v>
      </c>
      <c r="AK27" s="117">
        <v>2018130020</v>
      </c>
      <c r="AL27" s="121" t="s">
        <v>55</v>
      </c>
      <c r="AM27" s="45"/>
      <c r="AN27" s="45"/>
      <c r="AO27" s="45"/>
      <c r="AP27" s="45"/>
      <c r="AQ27" s="45"/>
      <c r="AR27" s="45"/>
      <c r="AS27" s="107"/>
    </row>
    <row r="28" ht="20.1" customHeight="1" spans="1:45">
      <c r="A28" s="17">
        <v>25</v>
      </c>
      <c r="B28" s="117">
        <v>2018130026</v>
      </c>
      <c r="C28" s="121" t="s">
        <v>60</v>
      </c>
      <c r="D28" s="96"/>
      <c r="E28" s="99"/>
      <c r="F28" s="98"/>
      <c r="G28" s="21" t="e">
        <f t="shared" si="0"/>
        <v>#VALUE!</v>
      </c>
      <c r="H28" s="7"/>
      <c r="I28" s="17">
        <v>23</v>
      </c>
      <c r="J28" s="117">
        <v>2018130024</v>
      </c>
      <c r="K28" s="121" t="s">
        <v>58</v>
      </c>
      <c r="L28" s="105" t="s">
        <v>37</v>
      </c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107"/>
      <c r="AH28" s="7"/>
      <c r="AI28" s="7"/>
      <c r="AJ28" s="17">
        <v>21</v>
      </c>
      <c r="AK28" s="117">
        <v>2018130021</v>
      </c>
      <c r="AL28" s="121" t="s">
        <v>56</v>
      </c>
      <c r="AM28" s="45"/>
      <c r="AN28" s="45"/>
      <c r="AO28" s="45"/>
      <c r="AP28" s="45"/>
      <c r="AQ28" s="45"/>
      <c r="AR28" s="45"/>
      <c r="AS28" s="107"/>
    </row>
    <row r="29" ht="20.1" customHeight="1" spans="1:45">
      <c r="A29" s="17">
        <v>26</v>
      </c>
      <c r="B29" s="117">
        <v>2018130027</v>
      </c>
      <c r="C29" s="121" t="s">
        <v>61</v>
      </c>
      <c r="D29" s="96"/>
      <c r="E29" s="99"/>
      <c r="F29" s="98"/>
      <c r="G29" s="21" t="e">
        <f t="shared" si="0"/>
        <v>#VALUE!</v>
      </c>
      <c r="H29" s="7"/>
      <c r="I29" s="17">
        <v>24</v>
      </c>
      <c r="J29" s="117">
        <v>2018130025</v>
      </c>
      <c r="K29" s="121" t="s">
        <v>59</v>
      </c>
      <c r="L29" s="105" t="s">
        <v>37</v>
      </c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107"/>
      <c r="AH29" s="7"/>
      <c r="AI29" s="7"/>
      <c r="AJ29" s="17">
        <v>22</v>
      </c>
      <c r="AK29" s="117">
        <v>2018130022</v>
      </c>
      <c r="AL29" s="121" t="s">
        <v>57</v>
      </c>
      <c r="AM29" s="45"/>
      <c r="AN29" s="45"/>
      <c r="AO29" s="45"/>
      <c r="AP29" s="45"/>
      <c r="AQ29" s="45"/>
      <c r="AR29" s="45"/>
      <c r="AS29" s="107"/>
    </row>
    <row r="30" ht="20.1" customHeight="1" spans="1:45">
      <c r="A30" s="17">
        <v>27</v>
      </c>
      <c r="B30" s="117">
        <v>2018130028</v>
      </c>
      <c r="C30" s="121" t="s">
        <v>62</v>
      </c>
      <c r="D30" s="96"/>
      <c r="E30" s="99"/>
      <c r="F30" s="98"/>
      <c r="G30" s="21" t="e">
        <f t="shared" si="0"/>
        <v>#VALUE!</v>
      </c>
      <c r="H30" s="7"/>
      <c r="I30" s="17">
        <v>25</v>
      </c>
      <c r="J30" s="117">
        <v>2018130026</v>
      </c>
      <c r="K30" s="121" t="s">
        <v>60</v>
      </c>
      <c r="L30" s="105" t="s">
        <v>37</v>
      </c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107"/>
      <c r="AH30" s="7"/>
      <c r="AI30" s="7"/>
      <c r="AJ30" s="17">
        <v>23</v>
      </c>
      <c r="AK30" s="117">
        <v>2018130024</v>
      </c>
      <c r="AL30" s="121" t="s">
        <v>58</v>
      </c>
      <c r="AM30" s="45"/>
      <c r="AN30" s="45"/>
      <c r="AO30" s="45"/>
      <c r="AP30" s="45"/>
      <c r="AQ30" s="45"/>
      <c r="AR30" s="45"/>
      <c r="AS30" s="107"/>
    </row>
    <row r="31" ht="20.1" customHeight="1" spans="1:45">
      <c r="A31" s="17">
        <v>28</v>
      </c>
      <c r="B31" s="117">
        <v>2018130029</v>
      </c>
      <c r="C31" s="121" t="s">
        <v>63</v>
      </c>
      <c r="D31" s="96"/>
      <c r="E31" s="99"/>
      <c r="F31" s="98"/>
      <c r="G31" s="21" t="e">
        <f t="shared" si="0"/>
        <v>#VALUE!</v>
      </c>
      <c r="H31" s="7"/>
      <c r="I31" s="17">
        <v>26</v>
      </c>
      <c r="J31" s="117">
        <v>2018130027</v>
      </c>
      <c r="K31" s="121" t="s">
        <v>61</v>
      </c>
      <c r="L31" s="105" t="s">
        <v>37</v>
      </c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107"/>
      <c r="AH31" s="7"/>
      <c r="AI31" s="7"/>
      <c r="AJ31" s="17">
        <v>24</v>
      </c>
      <c r="AK31" s="117">
        <v>2018130025</v>
      </c>
      <c r="AL31" s="121" t="s">
        <v>59</v>
      </c>
      <c r="AM31" s="45"/>
      <c r="AN31" s="45"/>
      <c r="AO31" s="45"/>
      <c r="AP31" s="45"/>
      <c r="AQ31" s="45"/>
      <c r="AR31" s="45"/>
      <c r="AS31" s="107"/>
    </row>
    <row r="32" ht="20.1" customHeight="1" spans="1:45">
      <c r="A32" s="17">
        <v>29</v>
      </c>
      <c r="B32" s="117">
        <v>2018130030</v>
      </c>
      <c r="C32" s="121" t="s">
        <v>64</v>
      </c>
      <c r="D32" s="96"/>
      <c r="E32" s="99"/>
      <c r="F32" s="98"/>
      <c r="G32" s="21" t="e">
        <f t="shared" si="0"/>
        <v>#VALUE!</v>
      </c>
      <c r="H32" s="7"/>
      <c r="I32" s="17">
        <v>27</v>
      </c>
      <c r="J32" s="117">
        <v>2018130028</v>
      </c>
      <c r="K32" s="121" t="s">
        <v>62</v>
      </c>
      <c r="L32" s="105" t="s">
        <v>37</v>
      </c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107"/>
      <c r="AH32" s="7"/>
      <c r="AI32" s="7"/>
      <c r="AJ32" s="17">
        <v>25</v>
      </c>
      <c r="AK32" s="117">
        <v>2018130026</v>
      </c>
      <c r="AL32" s="121" t="s">
        <v>60</v>
      </c>
      <c r="AM32" s="45"/>
      <c r="AN32" s="45"/>
      <c r="AO32" s="45"/>
      <c r="AP32" s="45"/>
      <c r="AQ32" s="45"/>
      <c r="AR32" s="45"/>
      <c r="AS32" s="107"/>
    </row>
    <row r="33" ht="20.1" customHeight="1" spans="1:45">
      <c r="A33" s="17">
        <v>30</v>
      </c>
      <c r="B33" s="117">
        <v>2018130031</v>
      </c>
      <c r="C33" s="121" t="s">
        <v>65</v>
      </c>
      <c r="D33" s="96"/>
      <c r="E33" s="99"/>
      <c r="F33" s="98"/>
      <c r="G33" s="21" t="e">
        <f t="shared" si="0"/>
        <v>#VALUE!</v>
      </c>
      <c r="H33" s="7"/>
      <c r="I33" s="17">
        <v>28</v>
      </c>
      <c r="J33" s="117">
        <v>2018130029</v>
      </c>
      <c r="K33" s="121" t="s">
        <v>63</v>
      </c>
      <c r="L33" s="105" t="s">
        <v>37</v>
      </c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107"/>
      <c r="AH33" s="7"/>
      <c r="AI33" s="7"/>
      <c r="AJ33" s="17">
        <v>26</v>
      </c>
      <c r="AK33" s="117">
        <v>2018130027</v>
      </c>
      <c r="AL33" s="121" t="s">
        <v>61</v>
      </c>
      <c r="AM33" s="45"/>
      <c r="AN33" s="45"/>
      <c r="AO33" s="45"/>
      <c r="AP33" s="45"/>
      <c r="AQ33" s="45"/>
      <c r="AR33" s="45"/>
      <c r="AS33" s="107"/>
    </row>
    <row r="34" ht="20.1" customHeight="1" spans="1:45">
      <c r="A34" s="17">
        <v>31</v>
      </c>
      <c r="B34" s="117">
        <v>2018130032</v>
      </c>
      <c r="C34" s="121" t="s">
        <v>66</v>
      </c>
      <c r="D34" s="96"/>
      <c r="E34" s="99"/>
      <c r="F34" s="98"/>
      <c r="G34" s="21" t="e">
        <f t="shared" si="0"/>
        <v>#VALUE!</v>
      </c>
      <c r="H34" s="7"/>
      <c r="I34" s="17">
        <v>29</v>
      </c>
      <c r="J34" s="117">
        <v>2018130030</v>
      </c>
      <c r="K34" s="121" t="s">
        <v>64</v>
      </c>
      <c r="L34" s="105" t="s">
        <v>37</v>
      </c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107"/>
      <c r="AH34" s="7"/>
      <c r="AI34" s="7"/>
      <c r="AJ34" s="17">
        <v>27</v>
      </c>
      <c r="AK34" s="117">
        <v>2018130028</v>
      </c>
      <c r="AL34" s="121" t="s">
        <v>62</v>
      </c>
      <c r="AM34" s="45"/>
      <c r="AN34" s="45"/>
      <c r="AO34" s="45"/>
      <c r="AP34" s="45"/>
      <c r="AQ34" s="45"/>
      <c r="AR34" s="45"/>
      <c r="AS34" s="107"/>
    </row>
    <row r="35" ht="20.1" customHeight="1" spans="1:45">
      <c r="A35" s="17">
        <v>32</v>
      </c>
      <c r="B35" s="117">
        <v>2018130033</v>
      </c>
      <c r="C35" s="121" t="s">
        <v>67</v>
      </c>
      <c r="D35" s="96"/>
      <c r="E35" s="99"/>
      <c r="F35" s="98"/>
      <c r="G35" s="21" t="e">
        <f t="shared" si="0"/>
        <v>#VALUE!</v>
      </c>
      <c r="H35" s="7"/>
      <c r="I35" s="17">
        <v>30</v>
      </c>
      <c r="J35" s="117">
        <v>2018130031</v>
      </c>
      <c r="K35" s="121" t="s">
        <v>65</v>
      </c>
      <c r="L35" s="105" t="s">
        <v>37</v>
      </c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107"/>
      <c r="AH35" s="7"/>
      <c r="AI35" s="7"/>
      <c r="AJ35" s="17">
        <v>28</v>
      </c>
      <c r="AK35" s="117">
        <v>2018130029</v>
      </c>
      <c r="AL35" s="121" t="s">
        <v>63</v>
      </c>
      <c r="AM35" s="45"/>
      <c r="AN35" s="45"/>
      <c r="AO35" s="45"/>
      <c r="AP35" s="45"/>
      <c r="AQ35" s="45"/>
      <c r="AR35" s="45"/>
      <c r="AS35" s="107"/>
    </row>
    <row r="36" ht="20.1" customHeight="1" spans="1:45">
      <c r="A36" s="17">
        <v>33</v>
      </c>
      <c r="B36" s="117">
        <v>2018130034</v>
      </c>
      <c r="C36" s="121" t="s">
        <v>68</v>
      </c>
      <c r="D36" s="96"/>
      <c r="E36" s="99"/>
      <c r="F36" s="98"/>
      <c r="G36" s="21" t="e">
        <f t="shared" si="0"/>
        <v>#VALUE!</v>
      </c>
      <c r="H36" s="7"/>
      <c r="I36" s="17">
        <v>31</v>
      </c>
      <c r="J36" s="117">
        <v>2018130032</v>
      </c>
      <c r="K36" s="121" t="s">
        <v>66</v>
      </c>
      <c r="L36" s="105" t="s">
        <v>37</v>
      </c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107"/>
      <c r="AH36" s="7"/>
      <c r="AI36" s="7"/>
      <c r="AJ36" s="17">
        <v>29</v>
      </c>
      <c r="AK36" s="117">
        <v>2018130030</v>
      </c>
      <c r="AL36" s="121" t="s">
        <v>64</v>
      </c>
      <c r="AM36" s="45"/>
      <c r="AN36" s="45"/>
      <c r="AO36" s="45"/>
      <c r="AP36" s="45"/>
      <c r="AQ36" s="45"/>
      <c r="AR36" s="45"/>
      <c r="AS36" s="107"/>
    </row>
    <row r="37" ht="20.1" customHeight="1" spans="1:45">
      <c r="A37" s="17">
        <v>34</v>
      </c>
      <c r="B37" s="117">
        <v>2018130035</v>
      </c>
      <c r="C37" s="121" t="s">
        <v>69</v>
      </c>
      <c r="D37" s="96"/>
      <c r="E37" s="99"/>
      <c r="F37" s="98"/>
      <c r="G37" s="21" t="e">
        <f t="shared" si="0"/>
        <v>#VALUE!</v>
      </c>
      <c r="H37" s="7"/>
      <c r="I37" s="17">
        <v>32</v>
      </c>
      <c r="J37" s="117">
        <v>2018130033</v>
      </c>
      <c r="K37" s="121" t="s">
        <v>67</v>
      </c>
      <c r="L37" s="105" t="s">
        <v>37</v>
      </c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107"/>
      <c r="AH37" s="7"/>
      <c r="AI37" s="7"/>
      <c r="AJ37" s="17">
        <v>30</v>
      </c>
      <c r="AK37" s="117">
        <v>2018130031</v>
      </c>
      <c r="AL37" s="121" t="s">
        <v>65</v>
      </c>
      <c r="AM37" s="45"/>
      <c r="AN37" s="45"/>
      <c r="AO37" s="45"/>
      <c r="AP37" s="45"/>
      <c r="AQ37" s="45"/>
      <c r="AR37" s="45"/>
      <c r="AS37" s="107"/>
    </row>
    <row r="38" ht="20.1" customHeight="1" spans="1:45">
      <c r="A38" s="17">
        <v>35</v>
      </c>
      <c r="B38" s="117">
        <v>2018130036</v>
      </c>
      <c r="C38" s="121" t="s">
        <v>70</v>
      </c>
      <c r="D38" s="96"/>
      <c r="E38" s="99"/>
      <c r="F38" s="98"/>
      <c r="G38" s="21" t="e">
        <f t="shared" si="0"/>
        <v>#VALUE!</v>
      </c>
      <c r="H38" s="7"/>
      <c r="I38" s="17">
        <v>33</v>
      </c>
      <c r="J38" s="117">
        <v>2018130034</v>
      </c>
      <c r="K38" s="121" t="s">
        <v>68</v>
      </c>
      <c r="L38" s="105" t="s">
        <v>37</v>
      </c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107"/>
      <c r="AH38" s="7"/>
      <c r="AI38" s="7"/>
      <c r="AJ38" s="17">
        <v>31</v>
      </c>
      <c r="AK38" s="117">
        <v>2018130032</v>
      </c>
      <c r="AL38" s="121" t="s">
        <v>66</v>
      </c>
      <c r="AM38" s="45"/>
      <c r="AN38" s="45"/>
      <c r="AO38" s="45"/>
      <c r="AP38" s="45"/>
      <c r="AQ38" s="45"/>
      <c r="AR38" s="45"/>
      <c r="AS38" s="107"/>
    </row>
    <row r="39" ht="20.1" customHeight="1" spans="1:45">
      <c r="A39" s="17">
        <v>36</v>
      </c>
      <c r="B39" s="117">
        <v>2018130037</v>
      </c>
      <c r="C39" s="121" t="s">
        <v>71</v>
      </c>
      <c r="D39" s="96"/>
      <c r="E39" s="99"/>
      <c r="F39" s="98"/>
      <c r="G39" s="21" t="e">
        <f t="shared" si="0"/>
        <v>#VALUE!</v>
      </c>
      <c r="H39" s="7"/>
      <c r="I39" s="17">
        <v>34</v>
      </c>
      <c r="J39" s="117">
        <v>2018130035</v>
      </c>
      <c r="K39" s="121" t="s">
        <v>69</v>
      </c>
      <c r="L39" s="105" t="s">
        <v>37</v>
      </c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107"/>
      <c r="AH39" s="7"/>
      <c r="AI39" s="7"/>
      <c r="AJ39" s="17">
        <v>32</v>
      </c>
      <c r="AK39" s="117">
        <v>2018130033</v>
      </c>
      <c r="AL39" s="121" t="s">
        <v>67</v>
      </c>
      <c r="AM39" s="45"/>
      <c r="AN39" s="45"/>
      <c r="AO39" s="45"/>
      <c r="AP39" s="45"/>
      <c r="AQ39" s="45"/>
      <c r="AR39" s="45"/>
      <c r="AS39" s="107"/>
    </row>
    <row r="40" ht="20.1" customHeight="1" spans="1:45">
      <c r="A40" s="17">
        <v>37</v>
      </c>
      <c r="B40" s="117">
        <v>2018130038</v>
      </c>
      <c r="C40" s="121" t="s">
        <v>72</v>
      </c>
      <c r="D40" s="96"/>
      <c r="E40" s="99"/>
      <c r="F40" s="98"/>
      <c r="G40" s="21" t="e">
        <f t="shared" si="0"/>
        <v>#VALUE!</v>
      </c>
      <c r="H40" s="7"/>
      <c r="I40" s="17">
        <v>35</v>
      </c>
      <c r="J40" s="117">
        <v>2018130036</v>
      </c>
      <c r="K40" s="121" t="s">
        <v>70</v>
      </c>
      <c r="L40" s="105" t="s">
        <v>37</v>
      </c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107"/>
      <c r="AH40" s="7"/>
      <c r="AI40" s="7"/>
      <c r="AJ40" s="17">
        <v>33</v>
      </c>
      <c r="AK40" s="117">
        <v>2018130034</v>
      </c>
      <c r="AL40" s="121" t="s">
        <v>68</v>
      </c>
      <c r="AM40" s="45"/>
      <c r="AN40" s="45"/>
      <c r="AO40" s="45"/>
      <c r="AP40" s="45"/>
      <c r="AQ40" s="45"/>
      <c r="AR40" s="45"/>
      <c r="AS40" s="107"/>
    </row>
    <row r="41" ht="20.1" customHeight="1" spans="1:45">
      <c r="A41" s="17">
        <v>38</v>
      </c>
      <c r="B41" s="117">
        <v>2018130039</v>
      </c>
      <c r="C41" s="121" t="s">
        <v>73</v>
      </c>
      <c r="D41" s="96"/>
      <c r="E41" s="99"/>
      <c r="F41" s="98"/>
      <c r="G41" s="21" t="e">
        <f t="shared" si="0"/>
        <v>#VALUE!</v>
      </c>
      <c r="H41" s="7"/>
      <c r="I41" s="17">
        <v>36</v>
      </c>
      <c r="J41" s="117">
        <v>2018130037</v>
      </c>
      <c r="K41" s="121" t="s">
        <v>71</v>
      </c>
      <c r="L41" s="105" t="s">
        <v>37</v>
      </c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107"/>
      <c r="AH41" s="7"/>
      <c r="AI41" s="7"/>
      <c r="AJ41" s="17">
        <v>34</v>
      </c>
      <c r="AK41" s="117">
        <v>2018130035</v>
      </c>
      <c r="AL41" s="121" t="s">
        <v>69</v>
      </c>
      <c r="AM41" s="45"/>
      <c r="AN41" s="45"/>
      <c r="AO41" s="45"/>
      <c r="AP41" s="45"/>
      <c r="AQ41" s="45"/>
      <c r="AR41" s="45"/>
      <c r="AS41" s="107"/>
    </row>
    <row r="42" ht="20.1" customHeight="1" spans="1:45">
      <c r="A42" s="17">
        <v>39</v>
      </c>
      <c r="B42" s="117">
        <v>2018130040</v>
      </c>
      <c r="C42" s="121" t="s">
        <v>74</v>
      </c>
      <c r="D42" s="96"/>
      <c r="E42" s="99"/>
      <c r="F42" s="98"/>
      <c r="G42" s="21" t="e">
        <f t="shared" si="0"/>
        <v>#VALUE!</v>
      </c>
      <c r="H42" s="7"/>
      <c r="I42" s="17">
        <v>37</v>
      </c>
      <c r="J42" s="117">
        <v>2018130038</v>
      </c>
      <c r="K42" s="121" t="s">
        <v>72</v>
      </c>
      <c r="L42" s="105" t="s">
        <v>37</v>
      </c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107"/>
      <c r="AH42" s="7"/>
      <c r="AI42" s="7"/>
      <c r="AJ42" s="17">
        <v>35</v>
      </c>
      <c r="AK42" s="117">
        <v>2018130036</v>
      </c>
      <c r="AL42" s="121" t="s">
        <v>70</v>
      </c>
      <c r="AM42" s="45"/>
      <c r="AN42" s="45"/>
      <c r="AO42" s="45"/>
      <c r="AP42" s="45"/>
      <c r="AQ42" s="45"/>
      <c r="AR42" s="45"/>
      <c r="AS42" s="107"/>
    </row>
    <row r="43" ht="20.1" customHeight="1" spans="1:45">
      <c r="A43" s="17">
        <v>40</v>
      </c>
      <c r="B43" s="117">
        <v>2018130041</v>
      </c>
      <c r="C43" s="121" t="s">
        <v>75</v>
      </c>
      <c r="D43" s="96"/>
      <c r="E43" s="99"/>
      <c r="F43" s="98"/>
      <c r="G43" s="21" t="e">
        <f t="shared" si="0"/>
        <v>#VALUE!</v>
      </c>
      <c r="H43" s="7"/>
      <c r="I43" s="17">
        <v>38</v>
      </c>
      <c r="J43" s="117">
        <v>2018130039</v>
      </c>
      <c r="K43" s="121" t="s">
        <v>73</v>
      </c>
      <c r="L43" s="105" t="s">
        <v>37</v>
      </c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107"/>
      <c r="AH43" s="7"/>
      <c r="AI43" s="7"/>
      <c r="AJ43" s="17">
        <v>36</v>
      </c>
      <c r="AK43" s="117">
        <v>2018130037</v>
      </c>
      <c r="AL43" s="121" t="s">
        <v>71</v>
      </c>
      <c r="AM43" s="45"/>
      <c r="AN43" s="45"/>
      <c r="AO43" s="45"/>
      <c r="AP43" s="45"/>
      <c r="AQ43" s="45"/>
      <c r="AR43" s="45"/>
      <c r="AS43" s="107"/>
    </row>
    <row r="44" ht="20.1" customHeight="1" spans="1:45">
      <c r="A44" s="17">
        <v>41</v>
      </c>
      <c r="B44" s="117">
        <v>2018130042</v>
      </c>
      <c r="C44" s="121" t="s">
        <v>76</v>
      </c>
      <c r="D44" s="96"/>
      <c r="E44" s="99"/>
      <c r="F44" s="98"/>
      <c r="G44" s="21" t="e">
        <f t="shared" si="0"/>
        <v>#VALUE!</v>
      </c>
      <c r="H44" s="7"/>
      <c r="I44" s="17">
        <v>39</v>
      </c>
      <c r="J44" s="117">
        <v>2018130040</v>
      </c>
      <c r="K44" s="121" t="s">
        <v>74</v>
      </c>
      <c r="L44" s="105" t="s">
        <v>37</v>
      </c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107"/>
      <c r="AH44" s="7"/>
      <c r="AI44" s="7"/>
      <c r="AJ44" s="17">
        <v>37</v>
      </c>
      <c r="AK44" s="117">
        <v>2018130038</v>
      </c>
      <c r="AL44" s="121" t="s">
        <v>72</v>
      </c>
      <c r="AM44" s="45"/>
      <c r="AN44" s="45"/>
      <c r="AO44" s="45"/>
      <c r="AP44" s="45"/>
      <c r="AQ44" s="45"/>
      <c r="AR44" s="45"/>
      <c r="AS44" s="107"/>
    </row>
    <row r="45" ht="20.1" customHeight="1" spans="1:45">
      <c r="A45" s="17">
        <v>42</v>
      </c>
      <c r="B45" s="117">
        <v>2018130043</v>
      </c>
      <c r="C45" s="121" t="s">
        <v>77</v>
      </c>
      <c r="D45" s="96"/>
      <c r="E45" s="99"/>
      <c r="F45" s="98"/>
      <c r="G45" s="21" t="e">
        <f t="shared" si="0"/>
        <v>#VALUE!</v>
      </c>
      <c r="H45" s="7"/>
      <c r="I45" s="17">
        <v>40</v>
      </c>
      <c r="J45" s="117">
        <v>2018130041</v>
      </c>
      <c r="K45" s="121" t="s">
        <v>75</v>
      </c>
      <c r="L45" s="105" t="s">
        <v>37</v>
      </c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57"/>
      <c r="AE45" s="45"/>
      <c r="AF45" s="45"/>
      <c r="AG45" s="107"/>
      <c r="AH45" s="7"/>
      <c r="AI45" s="7"/>
      <c r="AJ45" s="17">
        <v>38</v>
      </c>
      <c r="AK45" s="117">
        <v>2018130039</v>
      </c>
      <c r="AL45" s="121" t="s">
        <v>73</v>
      </c>
      <c r="AM45" s="45"/>
      <c r="AN45" s="45"/>
      <c r="AO45" s="45"/>
      <c r="AP45" s="45"/>
      <c r="AQ45" s="45"/>
      <c r="AR45" s="45"/>
      <c r="AS45" s="107"/>
    </row>
    <row r="46" ht="20.1" customHeight="1" spans="1:45">
      <c r="A46" s="17">
        <v>43</v>
      </c>
      <c r="B46" s="117">
        <v>2018130044</v>
      </c>
      <c r="C46" s="121" t="s">
        <v>78</v>
      </c>
      <c r="D46" s="96"/>
      <c r="E46" s="99"/>
      <c r="F46" s="98"/>
      <c r="G46" s="21" t="e">
        <f t="shared" si="0"/>
        <v>#VALUE!</v>
      </c>
      <c r="H46" s="7"/>
      <c r="I46" s="17">
        <v>41</v>
      </c>
      <c r="J46" s="117">
        <v>2018130042</v>
      </c>
      <c r="K46" s="121" t="s">
        <v>76</v>
      </c>
      <c r="L46" s="105" t="s">
        <v>37</v>
      </c>
      <c r="M46" s="45"/>
      <c r="N46" s="45"/>
      <c r="O46" s="45"/>
      <c r="P46" s="45"/>
      <c r="Q46" s="45"/>
      <c r="R46" s="45"/>
      <c r="S46" s="45"/>
      <c r="T46" s="45"/>
      <c r="U46" s="57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107"/>
      <c r="AH46" s="7"/>
      <c r="AI46" s="7"/>
      <c r="AJ46" s="17">
        <v>39</v>
      </c>
      <c r="AK46" s="117">
        <v>2018130040</v>
      </c>
      <c r="AL46" s="121" t="s">
        <v>74</v>
      </c>
      <c r="AM46" s="45"/>
      <c r="AN46" s="45"/>
      <c r="AO46" s="45"/>
      <c r="AP46" s="45"/>
      <c r="AQ46" s="45"/>
      <c r="AR46" s="45"/>
      <c r="AS46" s="107"/>
    </row>
    <row r="47" ht="20.1" customHeight="1" spans="1:45">
      <c r="A47" s="17">
        <v>44</v>
      </c>
      <c r="B47" s="117">
        <v>2018130045</v>
      </c>
      <c r="C47" s="121" t="s">
        <v>79</v>
      </c>
      <c r="D47" s="96"/>
      <c r="E47" s="99"/>
      <c r="F47" s="98"/>
      <c r="G47" s="21" t="e">
        <f t="shared" si="0"/>
        <v>#VALUE!</v>
      </c>
      <c r="H47" s="7"/>
      <c r="I47" s="17">
        <v>42</v>
      </c>
      <c r="J47" s="117">
        <v>2018130043</v>
      </c>
      <c r="K47" s="121" t="s">
        <v>77</v>
      </c>
      <c r="L47" s="105" t="s">
        <v>37</v>
      </c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107"/>
      <c r="AH47" s="7"/>
      <c r="AI47" s="7"/>
      <c r="AJ47" s="17">
        <v>40</v>
      </c>
      <c r="AK47" s="117">
        <v>2018130041</v>
      </c>
      <c r="AL47" s="121" t="s">
        <v>75</v>
      </c>
      <c r="AM47" s="45"/>
      <c r="AN47" s="45"/>
      <c r="AO47" s="45"/>
      <c r="AP47" s="45"/>
      <c r="AQ47" s="45"/>
      <c r="AR47" s="45"/>
      <c r="AS47" s="107"/>
    </row>
    <row r="48" ht="20.1" customHeight="1" spans="1:45">
      <c r="A48" s="47">
        <v>45</v>
      </c>
      <c r="B48" s="119">
        <v>2018130046</v>
      </c>
      <c r="C48" s="122" t="s">
        <v>80</v>
      </c>
      <c r="D48" s="112"/>
      <c r="E48" s="113"/>
      <c r="F48" s="114"/>
      <c r="G48" s="27" t="e">
        <f t="shared" si="0"/>
        <v>#VALUE!</v>
      </c>
      <c r="H48" s="7"/>
      <c r="I48" s="17">
        <v>43</v>
      </c>
      <c r="J48" s="117">
        <v>2018130044</v>
      </c>
      <c r="K48" s="121" t="s">
        <v>78</v>
      </c>
      <c r="L48" s="105" t="s">
        <v>37</v>
      </c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107"/>
      <c r="AH48" s="7"/>
      <c r="AI48" s="7"/>
      <c r="AJ48" s="17">
        <v>41</v>
      </c>
      <c r="AK48" s="117">
        <v>2018130042</v>
      </c>
      <c r="AL48" s="121" t="s">
        <v>76</v>
      </c>
      <c r="AM48" s="45"/>
      <c r="AN48" s="45"/>
      <c r="AO48" s="45"/>
      <c r="AP48" s="45"/>
      <c r="AQ48" s="45"/>
      <c r="AR48" s="45"/>
      <c r="AS48" s="107"/>
    </row>
    <row r="49" ht="20.1" customHeight="1" spans="1:45">
      <c r="A49" s="28"/>
      <c r="B49" s="78"/>
      <c r="C49" s="100"/>
      <c r="D49" s="29"/>
      <c r="E49" s="29"/>
      <c r="F49" s="29"/>
      <c r="G49" s="29"/>
      <c r="H49" s="7"/>
      <c r="I49" s="17">
        <v>44</v>
      </c>
      <c r="J49" s="117">
        <v>2018130045</v>
      </c>
      <c r="K49" s="121" t="s">
        <v>79</v>
      </c>
      <c r="L49" s="105" t="s">
        <v>37</v>
      </c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107"/>
      <c r="AH49" s="7"/>
      <c r="AI49" s="7"/>
      <c r="AJ49" s="17">
        <v>42</v>
      </c>
      <c r="AK49" s="117">
        <v>2018130043</v>
      </c>
      <c r="AL49" s="121" t="s">
        <v>77</v>
      </c>
      <c r="AM49" s="45"/>
      <c r="AN49" s="45"/>
      <c r="AO49" s="45"/>
      <c r="AP49" s="45"/>
      <c r="AQ49" s="45"/>
      <c r="AR49" s="45"/>
      <c r="AS49" s="107"/>
    </row>
    <row r="50" ht="20.1" customHeight="1" spans="1:45">
      <c r="A50" s="31" t="s">
        <v>81</v>
      </c>
      <c r="B50" s="31"/>
      <c r="C50" s="31"/>
      <c r="D50" s="31"/>
      <c r="E50" s="31"/>
      <c r="F50" s="31"/>
      <c r="G50" s="31"/>
      <c r="H50" s="7"/>
      <c r="I50" s="17">
        <v>45</v>
      </c>
      <c r="J50" s="117">
        <v>2018130046</v>
      </c>
      <c r="K50" s="121" t="s">
        <v>80</v>
      </c>
      <c r="L50" s="105" t="s">
        <v>37</v>
      </c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107"/>
      <c r="AH50" s="7"/>
      <c r="AI50" s="7"/>
      <c r="AJ50" s="17">
        <v>43</v>
      </c>
      <c r="AK50" s="117">
        <v>2018130044</v>
      </c>
      <c r="AL50" s="121" t="s">
        <v>78</v>
      </c>
      <c r="AM50" s="45"/>
      <c r="AN50" s="45"/>
      <c r="AO50" s="45"/>
      <c r="AP50" s="45"/>
      <c r="AQ50" s="45"/>
      <c r="AR50" s="45"/>
      <c r="AS50" s="107"/>
    </row>
    <row r="51" ht="20.1" customHeight="1" spans="1:45">
      <c r="A51" s="32" t="s">
        <v>82</v>
      </c>
      <c r="B51" s="32"/>
      <c r="C51" s="32"/>
      <c r="D51" s="32"/>
      <c r="E51" s="32"/>
      <c r="F51" s="32"/>
      <c r="G51" s="32"/>
      <c r="H51" s="7"/>
      <c r="I51" s="77"/>
      <c r="J51" s="78"/>
      <c r="K51" s="100"/>
      <c r="L51" s="92"/>
      <c r="M51" s="92"/>
      <c r="N51" s="106"/>
      <c r="O51" s="106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106"/>
      <c r="AD51" s="106"/>
      <c r="AE51" s="106"/>
      <c r="AF51" s="106"/>
      <c r="AG51" s="106"/>
      <c r="AH51" s="7"/>
      <c r="AI51" s="7"/>
      <c r="AJ51" s="17">
        <v>44</v>
      </c>
      <c r="AK51" s="117">
        <v>2018130045</v>
      </c>
      <c r="AL51" s="121" t="s">
        <v>79</v>
      </c>
      <c r="AM51" s="45"/>
      <c r="AN51" s="45"/>
      <c r="AO51" s="45"/>
      <c r="AP51" s="45"/>
      <c r="AQ51" s="45"/>
      <c r="AR51" s="45"/>
      <c r="AS51" s="107"/>
    </row>
    <row r="52" ht="24.75" customHeight="1" spans="1:45">
      <c r="A52" s="32" t="s">
        <v>83</v>
      </c>
      <c r="B52" s="32"/>
      <c r="C52" s="32"/>
      <c r="D52" s="32"/>
      <c r="E52" s="32"/>
      <c r="F52" s="32"/>
      <c r="G52" s="32"/>
      <c r="H52" s="7"/>
      <c r="I52" s="51" t="s">
        <v>84</v>
      </c>
      <c r="J52" s="51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17">
        <v>45</v>
      </c>
      <c r="AK52" s="117">
        <v>2018130046</v>
      </c>
      <c r="AL52" s="121" t="s">
        <v>80</v>
      </c>
      <c r="AM52" s="45"/>
      <c r="AN52" s="45"/>
      <c r="AO52" s="45"/>
      <c r="AP52" s="45"/>
      <c r="AQ52" s="45"/>
      <c r="AR52" s="45"/>
      <c r="AS52" s="107"/>
    </row>
    <row r="53" ht="20.1" customHeight="1" spans="1:45">
      <c r="A53" s="32" t="s">
        <v>85</v>
      </c>
      <c r="B53" s="32"/>
      <c r="C53" s="32"/>
      <c r="D53" s="32"/>
      <c r="E53" s="32"/>
      <c r="F53" s="32"/>
      <c r="G53" s="32"/>
      <c r="H53" s="7"/>
      <c r="I53" s="52" t="s">
        <v>86</v>
      </c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7"/>
      <c r="AI53" s="7"/>
      <c r="AJ53" s="77"/>
      <c r="AK53" s="78"/>
      <c r="AL53" s="100"/>
      <c r="AM53" s="92"/>
      <c r="AN53" s="92"/>
      <c r="AO53" s="92"/>
      <c r="AP53" s="92"/>
      <c r="AQ53" s="92"/>
      <c r="AR53" s="92"/>
      <c r="AS53" s="92"/>
    </row>
    <row r="54" ht="32.25" customHeight="1" spans="1:45">
      <c r="A54" s="101" t="s">
        <v>87</v>
      </c>
      <c r="B54" s="101"/>
      <c r="C54" s="101"/>
      <c r="D54" s="101"/>
      <c r="E54" s="101"/>
      <c r="F54" s="101"/>
      <c r="G54" s="101"/>
      <c r="H54" s="7"/>
      <c r="I54" s="52" t="s">
        <v>88</v>
      </c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7"/>
      <c r="AI54" s="7"/>
      <c r="AJ54" s="79" t="s">
        <v>89</v>
      </c>
      <c r="AK54" s="79"/>
      <c r="AL54" s="79"/>
      <c r="AM54" s="79"/>
      <c r="AN54" s="79"/>
      <c r="AO54" s="79"/>
      <c r="AP54" s="79"/>
      <c r="AQ54" s="79"/>
      <c r="AR54" s="79"/>
      <c r="AS54" s="79"/>
    </row>
    <row r="55" ht="30" customHeight="1" spans="1:45">
      <c r="A55" s="7"/>
      <c r="B55" s="7"/>
      <c r="C55" s="7"/>
      <c r="D55" s="7"/>
      <c r="E55" s="7"/>
      <c r="F55" s="7"/>
      <c r="G55" s="7"/>
      <c r="H55" s="7"/>
      <c r="I55" s="53" t="s">
        <v>90</v>
      </c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7"/>
      <c r="AI55" s="7"/>
      <c r="AJ55" s="80" t="s">
        <v>91</v>
      </c>
      <c r="AK55" s="80"/>
      <c r="AL55" s="80"/>
      <c r="AM55" s="80"/>
      <c r="AN55" s="80"/>
      <c r="AO55" s="80"/>
      <c r="AP55" s="80"/>
      <c r="AQ55" s="80"/>
      <c r="AR55" s="80"/>
      <c r="AS55" s="80"/>
    </row>
    <row r="56" ht="24" customHeight="1" spans="1:45">
      <c r="A56" s="7"/>
      <c r="B56" s="7"/>
      <c r="C56" s="7"/>
      <c r="D56" s="7"/>
      <c r="E56" s="7"/>
      <c r="F56" s="7"/>
      <c r="G56" s="7"/>
      <c r="H56" s="7"/>
      <c r="I56" s="53" t="s">
        <v>92</v>
      </c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7"/>
      <c r="AI56" s="7"/>
      <c r="AJ56" s="81" t="s">
        <v>93</v>
      </c>
      <c r="AK56" s="81"/>
      <c r="AL56" s="81"/>
      <c r="AM56" s="81"/>
      <c r="AN56" s="81"/>
      <c r="AO56" s="81"/>
      <c r="AP56" s="81"/>
      <c r="AQ56" s="81"/>
      <c r="AR56" s="81"/>
      <c r="AS56" s="81"/>
    </row>
    <row r="57" ht="31.5" customHeight="1" spans="1:45">
      <c r="A57" s="7"/>
      <c r="B57" s="7"/>
      <c r="C57" s="7"/>
      <c r="D57" s="7"/>
      <c r="E57" s="7"/>
      <c r="F57" s="7"/>
      <c r="G57" s="7"/>
      <c r="H57" s="7"/>
      <c r="I57" s="54" t="s">
        <v>94</v>
      </c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7"/>
      <c r="AI57" s="7"/>
      <c r="AJ57" s="81" t="s">
        <v>95</v>
      </c>
      <c r="AK57" s="81"/>
      <c r="AL57" s="81"/>
      <c r="AM57" s="81"/>
      <c r="AN57" s="81"/>
      <c r="AO57" s="81"/>
      <c r="AP57" s="81"/>
      <c r="AQ57" s="81"/>
      <c r="AR57" s="81"/>
      <c r="AS57" s="81"/>
    </row>
    <row r="58" ht="20.1" customHeight="1" spans="1:45">
      <c r="A58" s="7"/>
      <c r="B58" s="7"/>
      <c r="C58" s="7"/>
      <c r="D58" s="7"/>
      <c r="E58" s="7"/>
      <c r="F58" s="7"/>
      <c r="G58" s="7"/>
      <c r="H58" s="7"/>
      <c r="I58" s="55" t="s">
        <v>96</v>
      </c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7"/>
      <c r="AI58" s="7"/>
      <c r="AJ58" s="81" t="s">
        <v>97</v>
      </c>
      <c r="AK58" s="81"/>
      <c r="AL58" s="81"/>
      <c r="AM58" s="81"/>
      <c r="AN58" s="81"/>
      <c r="AO58" s="81"/>
      <c r="AP58" s="81"/>
      <c r="AQ58" s="81"/>
      <c r="AR58" s="81"/>
      <c r="AS58" s="81"/>
    </row>
    <row r="59" ht="20.1" customHeight="1" spans="1:45">
      <c r="A59" s="7"/>
      <c r="B59" s="7"/>
      <c r="C59" s="7"/>
      <c r="D59" s="7"/>
      <c r="E59" s="7"/>
      <c r="F59" s="7"/>
      <c r="G59" s="7"/>
      <c r="H59" s="7"/>
      <c r="I59" s="101" t="s">
        <v>98</v>
      </c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  <c r="AC59" s="101"/>
      <c r="AD59" s="101"/>
      <c r="AE59" s="101"/>
      <c r="AF59" s="101"/>
      <c r="AG59" s="101"/>
      <c r="AH59" s="7"/>
      <c r="AI59" s="7"/>
      <c r="AJ59" s="82" t="s">
        <v>99</v>
      </c>
      <c r="AK59" s="83"/>
      <c r="AL59" s="83"/>
      <c r="AM59" s="83"/>
      <c r="AN59" s="83"/>
      <c r="AO59" s="83"/>
      <c r="AP59" s="83"/>
      <c r="AQ59" s="83"/>
      <c r="AR59" s="83"/>
      <c r="AS59" s="83"/>
    </row>
    <row r="60" ht="20.1" customHeight="1" spans="8:35">
      <c r="H60" s="7"/>
      <c r="AH60" s="7"/>
      <c r="AI60" s="7"/>
    </row>
    <row r="61" ht="20.1" customHeight="1" spans="8:35">
      <c r="H61" s="7"/>
      <c r="AH61" s="7"/>
      <c r="AI61" s="7"/>
    </row>
  </sheetData>
  <mergeCells count="46">
    <mergeCell ref="A1:G1"/>
    <mergeCell ref="I1:AG1"/>
    <mergeCell ref="AJ1:AS1"/>
    <mergeCell ref="A2:G2"/>
    <mergeCell ref="I2:J2"/>
    <mergeCell ref="M2:N2"/>
    <mergeCell ref="O2:Q2"/>
    <mergeCell ref="R2:AB2"/>
    <mergeCell ref="AC2:AF2"/>
    <mergeCell ref="AJ2:AS2"/>
    <mergeCell ref="I3:J3"/>
    <mergeCell ref="M3:Q3"/>
    <mergeCell ref="R3:U3"/>
    <mergeCell ref="V3:AB3"/>
    <mergeCell ref="AC3:AF3"/>
    <mergeCell ref="AJ3:AS3"/>
    <mergeCell ref="M4:AF4"/>
    <mergeCell ref="AM4:AR4"/>
    <mergeCell ref="AM6:AR6"/>
    <mergeCell ref="A50:G50"/>
    <mergeCell ref="A51:G51"/>
    <mergeCell ref="A52:G52"/>
    <mergeCell ref="A53:G53"/>
    <mergeCell ref="I53:AG53"/>
    <mergeCell ref="A54:G54"/>
    <mergeCell ref="I54:AG54"/>
    <mergeCell ref="AJ54:AS54"/>
    <mergeCell ref="I55:AG55"/>
    <mergeCell ref="AJ55:AS55"/>
    <mergeCell ref="I56:AG56"/>
    <mergeCell ref="AJ56:AS56"/>
    <mergeCell ref="I57:AG57"/>
    <mergeCell ref="AJ57:AS57"/>
    <mergeCell ref="I58:AG58"/>
    <mergeCell ref="AJ58:AS58"/>
    <mergeCell ref="I59:AG59"/>
    <mergeCell ref="AJ59:AS59"/>
    <mergeCell ref="I4:I5"/>
    <mergeCell ref="J4:J5"/>
    <mergeCell ref="K4:K5"/>
    <mergeCell ref="L4:L5"/>
    <mergeCell ref="AG4:AG5"/>
    <mergeCell ref="AJ4:AJ7"/>
    <mergeCell ref="AK4:AK7"/>
    <mergeCell ref="AL4:AL7"/>
    <mergeCell ref="AS4:AS6"/>
  </mergeCells>
  <pageMargins left="0.699305555555556" right="0.699305555555556" top="0.708333333333333" bottom="0.786805555555556" header="0.31458333333333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S61"/>
  <sheetViews>
    <sheetView view="pageBreakPreview" zoomScaleNormal="100" topLeftCell="N40" workbookViewId="0">
      <selection activeCell="AJ1" sqref="AJ1:AS59"/>
    </sheetView>
  </sheetViews>
  <sheetFormatPr defaultColWidth="9" defaultRowHeight="13.5"/>
  <cols>
    <col min="1" max="1" width="5.3716814159292" style="93" customWidth="1"/>
    <col min="2" max="2" width="12.3716814159292" style="93" customWidth="1"/>
    <col min="3" max="3" width="9.75221238938053" style="93" customWidth="1"/>
    <col min="4" max="7" width="11.6283185840708" style="93" customWidth="1"/>
    <col min="8" max="8" width="9" style="93"/>
    <col min="9" max="9" width="4.12389380530973" style="93" customWidth="1"/>
    <col min="10" max="10" width="12" style="93" customWidth="1"/>
    <col min="11" max="11" width="8" style="93" customWidth="1"/>
    <col min="12" max="12" width="9" style="93"/>
    <col min="13" max="32" width="3.6283185840708" style="93" customWidth="1"/>
    <col min="33" max="35" width="9" style="93"/>
    <col min="36" max="36" width="4.6283185840708" style="93" customWidth="1"/>
    <col min="37" max="37" width="11.7522123893805" style="93" customWidth="1"/>
    <col min="38" max="16384" width="9" style="93"/>
  </cols>
  <sheetData>
    <row r="1" ht="47.25" customHeight="1" spans="1:45">
      <c r="A1" s="94" t="s">
        <v>0</v>
      </c>
      <c r="B1" s="94"/>
      <c r="C1" s="94"/>
      <c r="D1" s="94"/>
      <c r="E1" s="94"/>
      <c r="F1" s="94"/>
      <c r="G1" s="94"/>
      <c r="H1" s="7"/>
      <c r="I1" s="34" t="s">
        <v>1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7"/>
      <c r="AI1" s="7"/>
      <c r="AJ1" s="59" t="s">
        <v>2</v>
      </c>
      <c r="AK1" s="59"/>
      <c r="AL1" s="59"/>
      <c r="AM1" s="59"/>
      <c r="AN1" s="59"/>
      <c r="AO1" s="59"/>
      <c r="AP1" s="59"/>
      <c r="AQ1" s="59"/>
      <c r="AR1" s="59"/>
      <c r="AS1" s="59"/>
    </row>
    <row r="2" ht="14.25" customHeight="1" spans="1:45">
      <c r="A2" s="10" t="s">
        <v>100</v>
      </c>
      <c r="B2" s="11"/>
      <c r="C2" s="11"/>
      <c r="D2" s="11"/>
      <c r="E2" s="11"/>
      <c r="F2" s="11"/>
      <c r="G2" s="12"/>
      <c r="H2" s="7"/>
      <c r="I2" s="35" t="s">
        <v>4</v>
      </c>
      <c r="J2" s="36"/>
      <c r="K2" s="36" t="s">
        <v>5</v>
      </c>
      <c r="L2" s="36" t="s">
        <v>6</v>
      </c>
      <c r="M2" s="36">
        <v>2</v>
      </c>
      <c r="N2" s="36"/>
      <c r="O2" s="36" t="s">
        <v>7</v>
      </c>
      <c r="P2" s="36"/>
      <c r="Q2" s="36"/>
      <c r="R2" s="36" t="s">
        <v>8</v>
      </c>
      <c r="S2" s="36"/>
      <c r="T2" s="36"/>
      <c r="U2" s="36"/>
      <c r="V2" s="36"/>
      <c r="W2" s="36"/>
      <c r="X2" s="36"/>
      <c r="Y2" s="36"/>
      <c r="Z2" s="36"/>
      <c r="AA2" s="36"/>
      <c r="AB2" s="36"/>
      <c r="AC2" s="36" t="s">
        <v>9</v>
      </c>
      <c r="AD2" s="36"/>
      <c r="AE2" s="36"/>
      <c r="AF2" s="36"/>
      <c r="AG2" s="61" t="s">
        <v>10</v>
      </c>
      <c r="AH2" s="7"/>
      <c r="AI2" s="7"/>
      <c r="AJ2" s="62" t="s">
        <v>101</v>
      </c>
      <c r="AK2" s="63"/>
      <c r="AL2" s="63"/>
      <c r="AM2" s="63"/>
      <c r="AN2" s="63"/>
      <c r="AO2" s="63"/>
      <c r="AP2" s="63"/>
      <c r="AQ2" s="63"/>
      <c r="AR2" s="63"/>
      <c r="AS2" s="84"/>
    </row>
    <row r="3" ht="54" customHeight="1" spans="1:45">
      <c r="A3" s="13" t="s">
        <v>12</v>
      </c>
      <c r="B3" s="14" t="s">
        <v>13</v>
      </c>
      <c r="C3" s="14" t="s">
        <v>14</v>
      </c>
      <c r="D3" s="15" t="s">
        <v>15</v>
      </c>
      <c r="E3" s="15" t="s">
        <v>16</v>
      </c>
      <c r="F3" s="15" t="s">
        <v>17</v>
      </c>
      <c r="G3" s="95" t="s">
        <v>18</v>
      </c>
      <c r="H3" s="7"/>
      <c r="I3" s="37" t="s">
        <v>19</v>
      </c>
      <c r="J3" s="38"/>
      <c r="K3" s="38" t="s">
        <v>20</v>
      </c>
      <c r="L3" s="38" t="s">
        <v>21</v>
      </c>
      <c r="M3" s="38" t="s">
        <v>22</v>
      </c>
      <c r="N3" s="38"/>
      <c r="O3" s="38"/>
      <c r="P3" s="38"/>
      <c r="Q3" s="38"/>
      <c r="R3" s="38" t="s">
        <v>23</v>
      </c>
      <c r="S3" s="38"/>
      <c r="T3" s="38"/>
      <c r="U3" s="38"/>
      <c r="V3" s="56" t="s">
        <v>24</v>
      </c>
      <c r="W3" s="56"/>
      <c r="X3" s="56"/>
      <c r="Y3" s="56"/>
      <c r="Z3" s="56"/>
      <c r="AA3" s="56"/>
      <c r="AB3" s="56"/>
      <c r="AC3" s="38" t="s">
        <v>25</v>
      </c>
      <c r="AD3" s="38"/>
      <c r="AE3" s="38"/>
      <c r="AF3" s="38"/>
      <c r="AG3" s="64" t="s">
        <v>26</v>
      </c>
      <c r="AH3" s="7"/>
      <c r="AI3" s="7"/>
      <c r="AJ3" s="65" t="s">
        <v>27</v>
      </c>
      <c r="AK3" s="66"/>
      <c r="AL3" s="66"/>
      <c r="AM3" s="66"/>
      <c r="AN3" s="66"/>
      <c r="AO3" s="66"/>
      <c r="AP3" s="66"/>
      <c r="AQ3" s="66"/>
      <c r="AR3" s="66"/>
      <c r="AS3" s="85"/>
    </row>
    <row r="4" ht="20.1" customHeight="1" spans="1:45">
      <c r="A4" s="17">
        <v>1</v>
      </c>
      <c r="B4" s="18">
        <v>2018130047</v>
      </c>
      <c r="C4" s="123" t="s">
        <v>102</v>
      </c>
      <c r="D4" s="96"/>
      <c r="E4" s="97"/>
      <c r="F4" s="98"/>
      <c r="G4" s="21" t="e">
        <f t="shared" ref="G4:G48" si="0">C4*25%+E4*37.5%+F4*37.5%</f>
        <v>#VALUE!</v>
      </c>
      <c r="H4" s="7"/>
      <c r="I4" s="39" t="s">
        <v>29</v>
      </c>
      <c r="J4" s="40" t="s">
        <v>13</v>
      </c>
      <c r="K4" s="102" t="s">
        <v>14</v>
      </c>
      <c r="L4" s="103" t="s">
        <v>30</v>
      </c>
      <c r="M4" s="40" t="s">
        <v>31</v>
      </c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67" t="s">
        <v>32</v>
      </c>
      <c r="AH4" s="7"/>
      <c r="AI4" s="7"/>
      <c r="AJ4" s="68" t="s">
        <v>29</v>
      </c>
      <c r="AK4" s="69" t="s">
        <v>13</v>
      </c>
      <c r="AL4" s="69" t="s">
        <v>14</v>
      </c>
      <c r="AM4" s="86" t="s">
        <v>33</v>
      </c>
      <c r="AN4" s="87"/>
      <c r="AO4" s="87"/>
      <c r="AP4" s="87"/>
      <c r="AQ4" s="87"/>
      <c r="AR4" s="87"/>
      <c r="AS4" s="88" t="s">
        <v>34</v>
      </c>
    </row>
    <row r="5" ht="20.1" customHeight="1" spans="1:45">
      <c r="A5" s="17">
        <v>2</v>
      </c>
      <c r="B5" s="18">
        <v>2018130048</v>
      </c>
      <c r="C5" s="123" t="s">
        <v>103</v>
      </c>
      <c r="D5" s="96"/>
      <c r="E5" s="99"/>
      <c r="F5" s="98"/>
      <c r="G5" s="21" t="e">
        <f t="shared" si="0"/>
        <v>#VALUE!</v>
      </c>
      <c r="H5" s="7"/>
      <c r="I5" s="39"/>
      <c r="J5" s="40"/>
      <c r="K5" s="102"/>
      <c r="L5" s="104"/>
      <c r="M5" s="43">
        <v>1</v>
      </c>
      <c r="N5" s="43">
        <v>2</v>
      </c>
      <c r="O5" s="43">
        <v>3</v>
      </c>
      <c r="P5" s="43">
        <v>4</v>
      </c>
      <c r="Q5" s="43">
        <v>5</v>
      </c>
      <c r="R5" s="43">
        <v>6</v>
      </c>
      <c r="S5" s="43">
        <v>7</v>
      </c>
      <c r="T5" s="43">
        <v>8</v>
      </c>
      <c r="U5" s="43">
        <v>9</v>
      </c>
      <c r="V5" s="43">
        <v>10</v>
      </c>
      <c r="W5" s="43">
        <v>11</v>
      </c>
      <c r="X5" s="43">
        <v>12</v>
      </c>
      <c r="Y5" s="43">
        <v>13</v>
      </c>
      <c r="Z5" s="43">
        <v>14</v>
      </c>
      <c r="AA5" s="43">
        <v>15</v>
      </c>
      <c r="AB5" s="43">
        <v>16</v>
      </c>
      <c r="AC5" s="43">
        <v>17</v>
      </c>
      <c r="AD5" s="43">
        <v>18</v>
      </c>
      <c r="AE5" s="43">
        <v>19</v>
      </c>
      <c r="AF5" s="43">
        <v>20</v>
      </c>
      <c r="AG5" s="70"/>
      <c r="AH5" s="7"/>
      <c r="AI5" s="7"/>
      <c r="AJ5" s="71"/>
      <c r="AK5" s="72"/>
      <c r="AL5" s="72"/>
      <c r="AM5" s="40">
        <v>1</v>
      </c>
      <c r="AN5" s="40">
        <v>2</v>
      </c>
      <c r="AO5" s="40">
        <v>3</v>
      </c>
      <c r="AP5" s="40">
        <v>4</v>
      </c>
      <c r="AQ5" s="40">
        <v>5</v>
      </c>
      <c r="AR5" s="40">
        <v>6</v>
      </c>
      <c r="AS5" s="88"/>
    </row>
    <row r="6" ht="20.1" customHeight="1" spans="1:45">
      <c r="A6" s="17">
        <v>3</v>
      </c>
      <c r="B6" s="18">
        <v>2018130049</v>
      </c>
      <c r="C6" s="123" t="s">
        <v>104</v>
      </c>
      <c r="D6" s="96"/>
      <c r="E6" s="99"/>
      <c r="F6" s="98"/>
      <c r="G6" s="21" t="e">
        <f t="shared" si="0"/>
        <v>#VALUE!</v>
      </c>
      <c r="H6" s="7"/>
      <c r="I6" s="17">
        <v>1</v>
      </c>
      <c r="J6" s="18">
        <v>2018130047</v>
      </c>
      <c r="K6" s="123" t="s">
        <v>102</v>
      </c>
      <c r="L6" s="105" t="s">
        <v>105</v>
      </c>
      <c r="M6" s="45"/>
      <c r="N6" s="45"/>
      <c r="O6" s="45"/>
      <c r="P6" s="45"/>
      <c r="Q6" s="45"/>
      <c r="R6" s="45"/>
      <c r="S6" s="45"/>
      <c r="T6" s="45"/>
      <c r="U6" s="45"/>
      <c r="V6" s="57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107"/>
      <c r="AH6" s="7"/>
      <c r="AI6" s="7"/>
      <c r="AJ6" s="71"/>
      <c r="AK6" s="72"/>
      <c r="AL6" s="72"/>
      <c r="AM6" s="86" t="s">
        <v>38</v>
      </c>
      <c r="AN6" s="87"/>
      <c r="AO6" s="87"/>
      <c r="AP6" s="87"/>
      <c r="AQ6" s="87"/>
      <c r="AR6" s="87"/>
      <c r="AS6" s="88"/>
    </row>
    <row r="7" ht="20.1" customHeight="1" spans="1:45">
      <c r="A7" s="17">
        <v>4</v>
      </c>
      <c r="B7" s="18">
        <v>2018130050</v>
      </c>
      <c r="C7" s="123" t="s">
        <v>106</v>
      </c>
      <c r="D7" s="96"/>
      <c r="E7" s="99"/>
      <c r="F7" s="98"/>
      <c r="G7" s="21" t="e">
        <f t="shared" si="0"/>
        <v>#VALUE!</v>
      </c>
      <c r="H7" s="7"/>
      <c r="I7" s="17">
        <v>2</v>
      </c>
      <c r="J7" s="18">
        <v>2018130048</v>
      </c>
      <c r="K7" s="123" t="s">
        <v>103</v>
      </c>
      <c r="L7" s="105" t="s">
        <v>105</v>
      </c>
      <c r="M7" s="45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107"/>
      <c r="AH7" s="7"/>
      <c r="AI7" s="7"/>
      <c r="AJ7" s="74"/>
      <c r="AK7" s="75"/>
      <c r="AL7" s="75"/>
      <c r="AM7" s="108"/>
      <c r="AN7" s="108"/>
      <c r="AO7" s="108"/>
      <c r="AP7" s="108"/>
      <c r="AQ7" s="108"/>
      <c r="AR7" s="108"/>
      <c r="AS7" s="88"/>
    </row>
    <row r="8" ht="20.1" customHeight="1" spans="1:45">
      <c r="A8" s="17">
        <v>5</v>
      </c>
      <c r="B8" s="18">
        <v>2018130051</v>
      </c>
      <c r="C8" s="123" t="s">
        <v>107</v>
      </c>
      <c r="D8" s="96"/>
      <c r="E8" s="99"/>
      <c r="F8" s="98"/>
      <c r="G8" s="21" t="e">
        <f t="shared" si="0"/>
        <v>#VALUE!</v>
      </c>
      <c r="H8" s="7"/>
      <c r="I8" s="17">
        <v>3</v>
      </c>
      <c r="J8" s="18">
        <v>2018130049</v>
      </c>
      <c r="K8" s="123" t="s">
        <v>104</v>
      </c>
      <c r="L8" s="105" t="s">
        <v>105</v>
      </c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107"/>
      <c r="AH8" s="7"/>
      <c r="AI8" s="7"/>
      <c r="AJ8" s="17">
        <v>1</v>
      </c>
      <c r="AK8" s="18">
        <v>2018130047</v>
      </c>
      <c r="AL8" s="123" t="s">
        <v>102</v>
      </c>
      <c r="AM8" s="45"/>
      <c r="AN8" s="45"/>
      <c r="AO8" s="45"/>
      <c r="AP8" s="45"/>
      <c r="AQ8" s="45"/>
      <c r="AR8" s="45"/>
      <c r="AS8" s="107"/>
    </row>
    <row r="9" ht="20.1" customHeight="1" spans="1:45">
      <c r="A9" s="17">
        <v>6</v>
      </c>
      <c r="B9" s="18">
        <v>2018130052</v>
      </c>
      <c r="C9" s="123" t="s">
        <v>108</v>
      </c>
      <c r="D9" s="96"/>
      <c r="E9" s="99"/>
      <c r="F9" s="98"/>
      <c r="G9" s="21" t="e">
        <f t="shared" si="0"/>
        <v>#VALUE!</v>
      </c>
      <c r="H9" s="7"/>
      <c r="I9" s="17">
        <v>4</v>
      </c>
      <c r="J9" s="18">
        <v>2018130050</v>
      </c>
      <c r="K9" s="123" t="s">
        <v>106</v>
      </c>
      <c r="L9" s="105" t="s">
        <v>105</v>
      </c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107"/>
      <c r="AH9" s="7"/>
      <c r="AI9" s="7"/>
      <c r="AJ9" s="17">
        <v>2</v>
      </c>
      <c r="AK9" s="18">
        <v>2018130048</v>
      </c>
      <c r="AL9" s="123" t="s">
        <v>103</v>
      </c>
      <c r="AM9" s="45"/>
      <c r="AN9" s="45"/>
      <c r="AO9" s="45"/>
      <c r="AP9" s="45"/>
      <c r="AQ9" s="45"/>
      <c r="AR9" s="45"/>
      <c r="AS9" s="107"/>
    </row>
    <row r="10" ht="20.1" customHeight="1" spans="1:45">
      <c r="A10" s="17">
        <v>7</v>
      </c>
      <c r="B10" s="18">
        <v>2018130053</v>
      </c>
      <c r="C10" s="123" t="s">
        <v>109</v>
      </c>
      <c r="D10" s="96"/>
      <c r="E10" s="99"/>
      <c r="F10" s="98"/>
      <c r="G10" s="21" t="e">
        <f t="shared" si="0"/>
        <v>#VALUE!</v>
      </c>
      <c r="H10" s="7"/>
      <c r="I10" s="17">
        <v>5</v>
      </c>
      <c r="J10" s="18">
        <v>2018130051</v>
      </c>
      <c r="K10" s="123" t="s">
        <v>107</v>
      </c>
      <c r="L10" s="105" t="s">
        <v>105</v>
      </c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107"/>
      <c r="AH10" s="7"/>
      <c r="AI10" s="7"/>
      <c r="AJ10" s="17">
        <v>3</v>
      </c>
      <c r="AK10" s="18">
        <v>2018130049</v>
      </c>
      <c r="AL10" s="123" t="s">
        <v>104</v>
      </c>
      <c r="AM10" s="45"/>
      <c r="AN10" s="45"/>
      <c r="AO10" s="45"/>
      <c r="AP10" s="45"/>
      <c r="AQ10" s="45"/>
      <c r="AR10" s="45"/>
      <c r="AS10" s="107"/>
    </row>
    <row r="11" ht="20.1" customHeight="1" spans="1:45">
      <c r="A11" s="17">
        <v>8</v>
      </c>
      <c r="B11" s="18">
        <v>2018130054</v>
      </c>
      <c r="C11" s="123" t="s">
        <v>110</v>
      </c>
      <c r="D11" s="96"/>
      <c r="E11" s="99"/>
      <c r="F11" s="98"/>
      <c r="G11" s="21" t="e">
        <f t="shared" si="0"/>
        <v>#VALUE!</v>
      </c>
      <c r="H11" s="7"/>
      <c r="I11" s="17">
        <v>6</v>
      </c>
      <c r="J11" s="18">
        <v>2018130052</v>
      </c>
      <c r="K11" s="123" t="s">
        <v>108</v>
      </c>
      <c r="L11" s="105" t="s">
        <v>105</v>
      </c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107"/>
      <c r="AH11" s="7"/>
      <c r="AI11" s="7"/>
      <c r="AJ11" s="17">
        <v>4</v>
      </c>
      <c r="AK11" s="18">
        <v>2018130050</v>
      </c>
      <c r="AL11" s="123" t="s">
        <v>106</v>
      </c>
      <c r="AM11" s="45"/>
      <c r="AN11" s="45"/>
      <c r="AO11" s="45"/>
      <c r="AP11" s="45"/>
      <c r="AQ11" s="45"/>
      <c r="AR11" s="45"/>
      <c r="AS11" s="107"/>
    </row>
    <row r="12" ht="20.1" customHeight="1" spans="1:45">
      <c r="A12" s="17">
        <v>9</v>
      </c>
      <c r="B12" s="18">
        <v>2018130055</v>
      </c>
      <c r="C12" s="123" t="s">
        <v>111</v>
      </c>
      <c r="D12" s="96"/>
      <c r="E12" s="99"/>
      <c r="F12" s="98"/>
      <c r="G12" s="21" t="e">
        <f t="shared" si="0"/>
        <v>#VALUE!</v>
      </c>
      <c r="H12" s="7"/>
      <c r="I12" s="17">
        <v>7</v>
      </c>
      <c r="J12" s="18">
        <v>2018130053</v>
      </c>
      <c r="K12" s="123" t="s">
        <v>109</v>
      </c>
      <c r="L12" s="105" t="s">
        <v>105</v>
      </c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107"/>
      <c r="AH12" s="7"/>
      <c r="AI12" s="7"/>
      <c r="AJ12" s="17">
        <v>5</v>
      </c>
      <c r="AK12" s="18">
        <v>2018130051</v>
      </c>
      <c r="AL12" s="123" t="s">
        <v>107</v>
      </c>
      <c r="AM12" s="45"/>
      <c r="AN12" s="45"/>
      <c r="AO12" s="45"/>
      <c r="AP12" s="45"/>
      <c r="AQ12" s="45"/>
      <c r="AR12" s="45"/>
      <c r="AS12" s="107"/>
    </row>
    <row r="13" ht="20.1" customHeight="1" spans="1:45">
      <c r="A13" s="17">
        <v>10</v>
      </c>
      <c r="B13" s="18">
        <v>2018130056</v>
      </c>
      <c r="C13" s="123" t="s">
        <v>112</v>
      </c>
      <c r="D13" s="96"/>
      <c r="E13" s="99"/>
      <c r="F13" s="98"/>
      <c r="G13" s="21" t="e">
        <f t="shared" si="0"/>
        <v>#VALUE!</v>
      </c>
      <c r="H13" s="7"/>
      <c r="I13" s="17">
        <v>8</v>
      </c>
      <c r="J13" s="18">
        <v>2018130054</v>
      </c>
      <c r="K13" s="123" t="s">
        <v>110</v>
      </c>
      <c r="L13" s="105" t="s">
        <v>105</v>
      </c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107"/>
      <c r="AH13" s="7"/>
      <c r="AI13" s="7"/>
      <c r="AJ13" s="17">
        <v>6</v>
      </c>
      <c r="AK13" s="18">
        <v>2018130052</v>
      </c>
      <c r="AL13" s="123" t="s">
        <v>108</v>
      </c>
      <c r="AM13" s="45"/>
      <c r="AN13" s="45"/>
      <c r="AO13" s="45"/>
      <c r="AP13" s="45"/>
      <c r="AQ13" s="45"/>
      <c r="AR13" s="45"/>
      <c r="AS13" s="107"/>
    </row>
    <row r="14" ht="20.1" customHeight="1" spans="1:45">
      <c r="A14" s="17">
        <v>11</v>
      </c>
      <c r="B14" s="18">
        <v>2018130057</v>
      </c>
      <c r="C14" s="123" t="s">
        <v>113</v>
      </c>
      <c r="D14" s="96"/>
      <c r="E14" s="99"/>
      <c r="F14" s="98"/>
      <c r="G14" s="21" t="e">
        <f t="shared" si="0"/>
        <v>#VALUE!</v>
      </c>
      <c r="H14" s="7"/>
      <c r="I14" s="17">
        <v>9</v>
      </c>
      <c r="J14" s="18">
        <v>2018130055</v>
      </c>
      <c r="K14" s="123" t="s">
        <v>111</v>
      </c>
      <c r="L14" s="105" t="s">
        <v>105</v>
      </c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107"/>
      <c r="AH14" s="7"/>
      <c r="AI14" s="7"/>
      <c r="AJ14" s="17">
        <v>7</v>
      </c>
      <c r="AK14" s="18">
        <v>2018130053</v>
      </c>
      <c r="AL14" s="123" t="s">
        <v>109</v>
      </c>
      <c r="AM14" s="45"/>
      <c r="AN14" s="45"/>
      <c r="AO14" s="45"/>
      <c r="AP14" s="45"/>
      <c r="AQ14" s="45"/>
      <c r="AR14" s="45"/>
      <c r="AS14" s="107"/>
    </row>
    <row r="15" ht="20.1" customHeight="1" spans="1:45">
      <c r="A15" s="17">
        <v>12</v>
      </c>
      <c r="B15" s="18">
        <v>2018130058</v>
      </c>
      <c r="C15" s="123" t="s">
        <v>114</v>
      </c>
      <c r="D15" s="96"/>
      <c r="E15" s="99"/>
      <c r="F15" s="98"/>
      <c r="G15" s="21" t="e">
        <f t="shared" si="0"/>
        <v>#VALUE!</v>
      </c>
      <c r="H15" s="7"/>
      <c r="I15" s="17">
        <v>10</v>
      </c>
      <c r="J15" s="18">
        <v>2018130056</v>
      </c>
      <c r="K15" s="123" t="s">
        <v>112</v>
      </c>
      <c r="L15" s="105" t="s">
        <v>105</v>
      </c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107"/>
      <c r="AH15" s="7"/>
      <c r="AI15" s="7"/>
      <c r="AJ15" s="17">
        <v>8</v>
      </c>
      <c r="AK15" s="18">
        <v>2018130054</v>
      </c>
      <c r="AL15" s="123" t="s">
        <v>110</v>
      </c>
      <c r="AM15" s="45"/>
      <c r="AN15" s="45"/>
      <c r="AO15" s="45"/>
      <c r="AP15" s="45"/>
      <c r="AQ15" s="45"/>
      <c r="AR15" s="45"/>
      <c r="AS15" s="107"/>
    </row>
    <row r="16" ht="20.1" customHeight="1" spans="1:45">
      <c r="A16" s="17">
        <v>13</v>
      </c>
      <c r="B16" s="18">
        <v>2018130059</v>
      </c>
      <c r="C16" s="123" t="s">
        <v>115</v>
      </c>
      <c r="D16" s="96"/>
      <c r="E16" s="99"/>
      <c r="F16" s="98"/>
      <c r="G16" s="21" t="e">
        <f t="shared" si="0"/>
        <v>#VALUE!</v>
      </c>
      <c r="H16" s="7"/>
      <c r="I16" s="17">
        <v>11</v>
      </c>
      <c r="J16" s="18">
        <v>2018130057</v>
      </c>
      <c r="K16" s="123" t="s">
        <v>113</v>
      </c>
      <c r="L16" s="105" t="s">
        <v>105</v>
      </c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107"/>
      <c r="AH16" s="7"/>
      <c r="AI16" s="7"/>
      <c r="AJ16" s="17">
        <v>9</v>
      </c>
      <c r="AK16" s="18">
        <v>2018130055</v>
      </c>
      <c r="AL16" s="123" t="s">
        <v>111</v>
      </c>
      <c r="AM16" s="45"/>
      <c r="AN16" s="45"/>
      <c r="AO16" s="45"/>
      <c r="AP16" s="45"/>
      <c r="AQ16" s="45"/>
      <c r="AR16" s="45"/>
      <c r="AS16" s="107"/>
    </row>
    <row r="17" ht="20.1" customHeight="1" spans="1:45">
      <c r="A17" s="17">
        <v>14</v>
      </c>
      <c r="B17" s="18">
        <v>2018130060</v>
      </c>
      <c r="C17" s="123" t="s">
        <v>116</v>
      </c>
      <c r="D17" s="96"/>
      <c r="E17" s="99"/>
      <c r="F17" s="98"/>
      <c r="G17" s="21" t="e">
        <f t="shared" si="0"/>
        <v>#VALUE!</v>
      </c>
      <c r="H17" s="7"/>
      <c r="I17" s="17">
        <v>12</v>
      </c>
      <c r="J17" s="18">
        <v>2018130058</v>
      </c>
      <c r="K17" s="123" t="s">
        <v>114</v>
      </c>
      <c r="L17" s="105" t="s">
        <v>105</v>
      </c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107"/>
      <c r="AH17" s="7"/>
      <c r="AI17" s="7"/>
      <c r="AJ17" s="17">
        <v>10</v>
      </c>
      <c r="AK17" s="18">
        <v>2018130056</v>
      </c>
      <c r="AL17" s="123" t="s">
        <v>112</v>
      </c>
      <c r="AM17" s="45"/>
      <c r="AN17" s="45"/>
      <c r="AO17" s="45"/>
      <c r="AP17" s="45"/>
      <c r="AQ17" s="45"/>
      <c r="AR17" s="45"/>
      <c r="AS17" s="107"/>
    </row>
    <row r="18" ht="20.1" customHeight="1" spans="1:45">
      <c r="A18" s="17">
        <v>15</v>
      </c>
      <c r="B18" s="18">
        <v>2018130061</v>
      </c>
      <c r="C18" s="123" t="s">
        <v>117</v>
      </c>
      <c r="D18" s="96"/>
      <c r="E18" s="99"/>
      <c r="F18" s="98"/>
      <c r="G18" s="21" t="e">
        <f t="shared" si="0"/>
        <v>#VALUE!</v>
      </c>
      <c r="H18" s="7"/>
      <c r="I18" s="17">
        <v>13</v>
      </c>
      <c r="J18" s="18">
        <v>2018130059</v>
      </c>
      <c r="K18" s="123" t="s">
        <v>115</v>
      </c>
      <c r="L18" s="105" t="s">
        <v>105</v>
      </c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107"/>
      <c r="AH18" s="7"/>
      <c r="AI18" s="7"/>
      <c r="AJ18" s="17">
        <v>11</v>
      </c>
      <c r="AK18" s="18">
        <v>2018130057</v>
      </c>
      <c r="AL18" s="123" t="s">
        <v>113</v>
      </c>
      <c r="AM18" s="45"/>
      <c r="AN18" s="45"/>
      <c r="AO18" s="45"/>
      <c r="AP18" s="45"/>
      <c r="AQ18" s="45"/>
      <c r="AR18" s="45"/>
      <c r="AS18" s="107"/>
    </row>
    <row r="19" ht="20.1" customHeight="1" spans="1:45">
      <c r="A19" s="17">
        <v>16</v>
      </c>
      <c r="B19" s="18">
        <v>2018130062</v>
      </c>
      <c r="C19" s="123" t="s">
        <v>118</v>
      </c>
      <c r="D19" s="96"/>
      <c r="E19" s="99"/>
      <c r="F19" s="98"/>
      <c r="G19" s="21" t="e">
        <f t="shared" si="0"/>
        <v>#VALUE!</v>
      </c>
      <c r="H19" s="7"/>
      <c r="I19" s="17">
        <v>14</v>
      </c>
      <c r="J19" s="18">
        <v>2018130060</v>
      </c>
      <c r="K19" s="123" t="s">
        <v>116</v>
      </c>
      <c r="L19" s="105" t="s">
        <v>105</v>
      </c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57"/>
      <c r="Y19" s="45"/>
      <c r="Z19" s="45"/>
      <c r="AA19" s="45"/>
      <c r="AB19" s="45"/>
      <c r="AC19" s="45"/>
      <c r="AD19" s="45"/>
      <c r="AE19" s="45"/>
      <c r="AF19" s="45"/>
      <c r="AG19" s="107"/>
      <c r="AH19" s="7"/>
      <c r="AI19" s="7"/>
      <c r="AJ19" s="17">
        <v>12</v>
      </c>
      <c r="AK19" s="18">
        <v>2018130058</v>
      </c>
      <c r="AL19" s="123" t="s">
        <v>114</v>
      </c>
      <c r="AM19" s="45"/>
      <c r="AN19" s="45"/>
      <c r="AO19" s="45"/>
      <c r="AP19" s="45"/>
      <c r="AQ19" s="45"/>
      <c r="AR19" s="45"/>
      <c r="AS19" s="107"/>
    </row>
    <row r="20" ht="20.1" customHeight="1" spans="1:45">
      <c r="A20" s="17">
        <v>17</v>
      </c>
      <c r="B20" s="18">
        <v>2018130063</v>
      </c>
      <c r="C20" s="123" t="s">
        <v>119</v>
      </c>
      <c r="D20" s="96"/>
      <c r="E20" s="99"/>
      <c r="F20" s="98"/>
      <c r="G20" s="21" t="e">
        <f t="shared" si="0"/>
        <v>#VALUE!</v>
      </c>
      <c r="H20" s="7"/>
      <c r="I20" s="17">
        <v>15</v>
      </c>
      <c r="J20" s="18">
        <v>2018130061</v>
      </c>
      <c r="K20" s="123" t="s">
        <v>117</v>
      </c>
      <c r="L20" s="105" t="s">
        <v>105</v>
      </c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107"/>
      <c r="AH20" s="7"/>
      <c r="AI20" s="7"/>
      <c r="AJ20" s="17">
        <v>13</v>
      </c>
      <c r="AK20" s="18">
        <v>2018130059</v>
      </c>
      <c r="AL20" s="123" t="s">
        <v>115</v>
      </c>
      <c r="AM20" s="45"/>
      <c r="AN20" s="45"/>
      <c r="AO20" s="45"/>
      <c r="AP20" s="45"/>
      <c r="AQ20" s="45"/>
      <c r="AR20" s="45"/>
      <c r="AS20" s="107"/>
    </row>
    <row r="21" ht="20.1" customHeight="1" spans="1:45">
      <c r="A21" s="17">
        <v>18</v>
      </c>
      <c r="B21" s="18">
        <v>2018130064</v>
      </c>
      <c r="C21" s="123" t="s">
        <v>120</v>
      </c>
      <c r="D21" s="96"/>
      <c r="E21" s="99"/>
      <c r="F21" s="98"/>
      <c r="G21" s="21" t="e">
        <f t="shared" si="0"/>
        <v>#VALUE!</v>
      </c>
      <c r="H21" s="7"/>
      <c r="I21" s="17">
        <v>16</v>
      </c>
      <c r="J21" s="18">
        <v>2018130062</v>
      </c>
      <c r="K21" s="123" t="s">
        <v>118</v>
      </c>
      <c r="L21" s="105" t="s">
        <v>105</v>
      </c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107"/>
      <c r="AH21" s="7"/>
      <c r="AI21" s="7"/>
      <c r="AJ21" s="17">
        <v>14</v>
      </c>
      <c r="AK21" s="18">
        <v>2018130060</v>
      </c>
      <c r="AL21" s="123" t="s">
        <v>116</v>
      </c>
      <c r="AM21" s="45"/>
      <c r="AN21" s="45"/>
      <c r="AO21" s="45"/>
      <c r="AP21" s="45"/>
      <c r="AQ21" s="45"/>
      <c r="AR21" s="45"/>
      <c r="AS21" s="107"/>
    </row>
    <row r="22" ht="20.1" customHeight="1" spans="1:45">
      <c r="A22" s="17">
        <v>19</v>
      </c>
      <c r="B22" s="18">
        <v>2018130065</v>
      </c>
      <c r="C22" s="123" t="s">
        <v>121</v>
      </c>
      <c r="D22" s="96"/>
      <c r="E22" s="99"/>
      <c r="F22" s="98"/>
      <c r="G22" s="21" t="e">
        <f t="shared" si="0"/>
        <v>#VALUE!</v>
      </c>
      <c r="H22" s="7"/>
      <c r="I22" s="17">
        <v>17</v>
      </c>
      <c r="J22" s="18">
        <v>2018130063</v>
      </c>
      <c r="K22" s="123" t="s">
        <v>119</v>
      </c>
      <c r="L22" s="105" t="s">
        <v>105</v>
      </c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107"/>
      <c r="AH22" s="7"/>
      <c r="AI22" s="7"/>
      <c r="AJ22" s="17">
        <v>15</v>
      </c>
      <c r="AK22" s="18">
        <v>2018130061</v>
      </c>
      <c r="AL22" s="123" t="s">
        <v>117</v>
      </c>
      <c r="AM22" s="45"/>
      <c r="AN22" s="45"/>
      <c r="AO22" s="45"/>
      <c r="AP22" s="45"/>
      <c r="AQ22" s="45"/>
      <c r="AR22" s="45"/>
      <c r="AS22" s="107"/>
    </row>
    <row r="23" ht="20.1" customHeight="1" spans="1:45">
      <c r="A23" s="17">
        <v>20</v>
      </c>
      <c r="B23" s="18">
        <v>2018130066</v>
      </c>
      <c r="C23" s="123" t="s">
        <v>122</v>
      </c>
      <c r="D23" s="96"/>
      <c r="E23" s="99"/>
      <c r="F23" s="98"/>
      <c r="G23" s="21" t="e">
        <f t="shared" si="0"/>
        <v>#VALUE!</v>
      </c>
      <c r="H23" s="7"/>
      <c r="I23" s="17">
        <v>18</v>
      </c>
      <c r="J23" s="18">
        <v>2018130064</v>
      </c>
      <c r="K23" s="123" t="s">
        <v>120</v>
      </c>
      <c r="L23" s="105" t="s">
        <v>105</v>
      </c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107"/>
      <c r="AH23" s="7"/>
      <c r="AI23" s="7"/>
      <c r="AJ23" s="17">
        <v>16</v>
      </c>
      <c r="AK23" s="18">
        <v>2018130062</v>
      </c>
      <c r="AL23" s="123" t="s">
        <v>118</v>
      </c>
      <c r="AM23" s="45"/>
      <c r="AN23" s="45"/>
      <c r="AO23" s="45"/>
      <c r="AP23" s="45"/>
      <c r="AQ23" s="45"/>
      <c r="AR23" s="45"/>
      <c r="AS23" s="107"/>
    </row>
    <row r="24" ht="20.1" customHeight="1" spans="1:45">
      <c r="A24" s="17">
        <v>21</v>
      </c>
      <c r="B24" s="18">
        <v>2018130067</v>
      </c>
      <c r="C24" s="123" t="s">
        <v>123</v>
      </c>
      <c r="D24" s="96"/>
      <c r="E24" s="99"/>
      <c r="F24" s="98"/>
      <c r="G24" s="21" t="e">
        <f t="shared" si="0"/>
        <v>#VALUE!</v>
      </c>
      <c r="H24" s="7"/>
      <c r="I24" s="17">
        <v>19</v>
      </c>
      <c r="J24" s="18">
        <v>2018130065</v>
      </c>
      <c r="K24" s="123" t="s">
        <v>121</v>
      </c>
      <c r="L24" s="105" t="s">
        <v>105</v>
      </c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107"/>
      <c r="AH24" s="7"/>
      <c r="AI24" s="7"/>
      <c r="AJ24" s="17">
        <v>17</v>
      </c>
      <c r="AK24" s="18">
        <v>2018130063</v>
      </c>
      <c r="AL24" s="123" t="s">
        <v>119</v>
      </c>
      <c r="AM24" s="45"/>
      <c r="AN24" s="45"/>
      <c r="AO24" s="45"/>
      <c r="AP24" s="45"/>
      <c r="AQ24" s="45"/>
      <c r="AR24" s="45"/>
      <c r="AS24" s="107"/>
    </row>
    <row r="25" ht="20.1" customHeight="1" spans="1:45">
      <c r="A25" s="17">
        <v>22</v>
      </c>
      <c r="B25" s="18">
        <v>2018130068</v>
      </c>
      <c r="C25" s="123" t="s">
        <v>124</v>
      </c>
      <c r="D25" s="96"/>
      <c r="E25" s="99"/>
      <c r="F25" s="98"/>
      <c r="G25" s="21" t="e">
        <f t="shared" si="0"/>
        <v>#VALUE!</v>
      </c>
      <c r="H25" s="7"/>
      <c r="I25" s="17">
        <v>20</v>
      </c>
      <c r="J25" s="18">
        <v>2018130066</v>
      </c>
      <c r="K25" s="123" t="s">
        <v>122</v>
      </c>
      <c r="L25" s="105" t="s">
        <v>105</v>
      </c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107"/>
      <c r="AH25" s="7"/>
      <c r="AI25" s="7"/>
      <c r="AJ25" s="17">
        <v>18</v>
      </c>
      <c r="AK25" s="18">
        <v>2018130064</v>
      </c>
      <c r="AL25" s="123" t="s">
        <v>120</v>
      </c>
      <c r="AM25" s="45"/>
      <c r="AN25" s="45"/>
      <c r="AO25" s="45"/>
      <c r="AP25" s="45"/>
      <c r="AQ25" s="45"/>
      <c r="AR25" s="45"/>
      <c r="AS25" s="107"/>
    </row>
    <row r="26" ht="20.1" customHeight="1" spans="1:45">
      <c r="A26" s="17">
        <v>23</v>
      </c>
      <c r="B26" s="18">
        <v>2018130069</v>
      </c>
      <c r="C26" s="123" t="s">
        <v>125</v>
      </c>
      <c r="D26" s="96"/>
      <c r="E26" s="99"/>
      <c r="F26" s="98"/>
      <c r="G26" s="21" t="e">
        <f t="shared" si="0"/>
        <v>#VALUE!</v>
      </c>
      <c r="H26" s="7"/>
      <c r="I26" s="17">
        <v>21</v>
      </c>
      <c r="J26" s="18">
        <v>2018130067</v>
      </c>
      <c r="K26" s="123" t="s">
        <v>123</v>
      </c>
      <c r="L26" s="105" t="s">
        <v>105</v>
      </c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107"/>
      <c r="AH26" s="7"/>
      <c r="AI26" s="7"/>
      <c r="AJ26" s="17">
        <v>19</v>
      </c>
      <c r="AK26" s="18">
        <v>2018130065</v>
      </c>
      <c r="AL26" s="123" t="s">
        <v>121</v>
      </c>
      <c r="AM26" s="45"/>
      <c r="AN26" s="45"/>
      <c r="AO26" s="45"/>
      <c r="AP26" s="45"/>
      <c r="AQ26" s="45"/>
      <c r="AR26" s="45"/>
      <c r="AS26" s="107"/>
    </row>
    <row r="27" ht="20.1" customHeight="1" spans="1:45">
      <c r="A27" s="17">
        <v>24</v>
      </c>
      <c r="B27" s="18">
        <v>2018130070</v>
      </c>
      <c r="C27" s="123" t="s">
        <v>126</v>
      </c>
      <c r="D27" s="96"/>
      <c r="E27" s="99"/>
      <c r="F27" s="98"/>
      <c r="G27" s="21" t="e">
        <f t="shared" si="0"/>
        <v>#VALUE!</v>
      </c>
      <c r="H27" s="7"/>
      <c r="I27" s="17">
        <v>22</v>
      </c>
      <c r="J27" s="18">
        <v>2018130068</v>
      </c>
      <c r="K27" s="123" t="s">
        <v>124</v>
      </c>
      <c r="L27" s="105" t="s">
        <v>105</v>
      </c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107"/>
      <c r="AH27" s="7"/>
      <c r="AI27" s="7"/>
      <c r="AJ27" s="17">
        <v>20</v>
      </c>
      <c r="AK27" s="18">
        <v>2018130066</v>
      </c>
      <c r="AL27" s="123" t="s">
        <v>122</v>
      </c>
      <c r="AM27" s="45"/>
      <c r="AN27" s="45"/>
      <c r="AO27" s="45"/>
      <c r="AP27" s="45"/>
      <c r="AQ27" s="45"/>
      <c r="AR27" s="45"/>
      <c r="AS27" s="107"/>
    </row>
    <row r="28" ht="20.1" customHeight="1" spans="1:45">
      <c r="A28" s="17">
        <v>25</v>
      </c>
      <c r="B28" s="18">
        <v>2018130071</v>
      </c>
      <c r="C28" s="123" t="s">
        <v>127</v>
      </c>
      <c r="D28" s="96"/>
      <c r="E28" s="99"/>
      <c r="F28" s="98"/>
      <c r="G28" s="21" t="e">
        <f t="shared" si="0"/>
        <v>#VALUE!</v>
      </c>
      <c r="H28" s="7"/>
      <c r="I28" s="17">
        <v>23</v>
      </c>
      <c r="J28" s="18">
        <v>2018130069</v>
      </c>
      <c r="K28" s="123" t="s">
        <v>125</v>
      </c>
      <c r="L28" s="105" t="s">
        <v>105</v>
      </c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107"/>
      <c r="AH28" s="7"/>
      <c r="AI28" s="7"/>
      <c r="AJ28" s="17">
        <v>21</v>
      </c>
      <c r="AK28" s="18">
        <v>2018130067</v>
      </c>
      <c r="AL28" s="123" t="s">
        <v>123</v>
      </c>
      <c r="AM28" s="45"/>
      <c r="AN28" s="45"/>
      <c r="AO28" s="45"/>
      <c r="AP28" s="45"/>
      <c r="AQ28" s="45"/>
      <c r="AR28" s="45"/>
      <c r="AS28" s="107"/>
    </row>
    <row r="29" ht="20.1" customHeight="1" spans="1:45">
      <c r="A29" s="17">
        <v>26</v>
      </c>
      <c r="B29" s="18">
        <v>2018130072</v>
      </c>
      <c r="C29" s="123" t="s">
        <v>128</v>
      </c>
      <c r="D29" s="96"/>
      <c r="E29" s="99"/>
      <c r="F29" s="98"/>
      <c r="G29" s="21" t="e">
        <f t="shared" si="0"/>
        <v>#VALUE!</v>
      </c>
      <c r="H29" s="7"/>
      <c r="I29" s="17">
        <v>24</v>
      </c>
      <c r="J29" s="18">
        <v>2018130070</v>
      </c>
      <c r="K29" s="123" t="s">
        <v>126</v>
      </c>
      <c r="L29" s="105" t="s">
        <v>105</v>
      </c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107"/>
      <c r="AH29" s="7"/>
      <c r="AI29" s="7"/>
      <c r="AJ29" s="17">
        <v>22</v>
      </c>
      <c r="AK29" s="18">
        <v>2018130068</v>
      </c>
      <c r="AL29" s="123" t="s">
        <v>124</v>
      </c>
      <c r="AM29" s="45"/>
      <c r="AN29" s="45"/>
      <c r="AO29" s="45"/>
      <c r="AP29" s="45"/>
      <c r="AQ29" s="45"/>
      <c r="AR29" s="45"/>
      <c r="AS29" s="107"/>
    </row>
    <row r="30" ht="20.1" customHeight="1" spans="1:45">
      <c r="A30" s="17">
        <v>27</v>
      </c>
      <c r="B30" s="18">
        <v>2018130073</v>
      </c>
      <c r="C30" s="123" t="s">
        <v>129</v>
      </c>
      <c r="D30" s="96"/>
      <c r="E30" s="99"/>
      <c r="F30" s="98"/>
      <c r="G30" s="21" t="e">
        <f t="shared" si="0"/>
        <v>#VALUE!</v>
      </c>
      <c r="H30" s="7"/>
      <c r="I30" s="17">
        <v>25</v>
      </c>
      <c r="J30" s="18">
        <v>2018130071</v>
      </c>
      <c r="K30" s="123" t="s">
        <v>127</v>
      </c>
      <c r="L30" s="105" t="s">
        <v>105</v>
      </c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107"/>
      <c r="AH30" s="7"/>
      <c r="AI30" s="7"/>
      <c r="AJ30" s="17">
        <v>23</v>
      </c>
      <c r="AK30" s="18">
        <v>2018130069</v>
      </c>
      <c r="AL30" s="123" t="s">
        <v>125</v>
      </c>
      <c r="AM30" s="45"/>
      <c r="AN30" s="45"/>
      <c r="AO30" s="45"/>
      <c r="AP30" s="45"/>
      <c r="AQ30" s="45"/>
      <c r="AR30" s="45"/>
      <c r="AS30" s="107"/>
    </row>
    <row r="31" ht="20.1" customHeight="1" spans="1:45">
      <c r="A31" s="17">
        <v>28</v>
      </c>
      <c r="B31" s="18">
        <v>2018130074</v>
      </c>
      <c r="C31" s="123" t="s">
        <v>130</v>
      </c>
      <c r="D31" s="96"/>
      <c r="E31" s="99"/>
      <c r="F31" s="98"/>
      <c r="G31" s="21" t="e">
        <f t="shared" si="0"/>
        <v>#VALUE!</v>
      </c>
      <c r="H31" s="7"/>
      <c r="I31" s="17">
        <v>26</v>
      </c>
      <c r="J31" s="18">
        <v>2018130072</v>
      </c>
      <c r="K31" s="123" t="s">
        <v>128</v>
      </c>
      <c r="L31" s="105" t="s">
        <v>105</v>
      </c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107"/>
      <c r="AH31" s="7"/>
      <c r="AI31" s="7"/>
      <c r="AJ31" s="17">
        <v>24</v>
      </c>
      <c r="AK31" s="18">
        <v>2018130070</v>
      </c>
      <c r="AL31" s="123" t="s">
        <v>126</v>
      </c>
      <c r="AM31" s="45"/>
      <c r="AN31" s="45"/>
      <c r="AO31" s="45"/>
      <c r="AP31" s="45"/>
      <c r="AQ31" s="45"/>
      <c r="AR31" s="45"/>
      <c r="AS31" s="107"/>
    </row>
    <row r="32" ht="20.1" customHeight="1" spans="1:45">
      <c r="A32" s="17">
        <v>29</v>
      </c>
      <c r="B32" s="18">
        <v>2018130075</v>
      </c>
      <c r="C32" s="123" t="s">
        <v>131</v>
      </c>
      <c r="D32" s="96"/>
      <c r="E32" s="99"/>
      <c r="F32" s="98"/>
      <c r="G32" s="21" t="e">
        <f t="shared" si="0"/>
        <v>#VALUE!</v>
      </c>
      <c r="H32" s="7"/>
      <c r="I32" s="17">
        <v>27</v>
      </c>
      <c r="J32" s="18">
        <v>2018130073</v>
      </c>
      <c r="K32" s="123" t="s">
        <v>129</v>
      </c>
      <c r="L32" s="105" t="s">
        <v>105</v>
      </c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107"/>
      <c r="AH32" s="7"/>
      <c r="AI32" s="7"/>
      <c r="AJ32" s="17">
        <v>25</v>
      </c>
      <c r="AK32" s="18">
        <v>2018130071</v>
      </c>
      <c r="AL32" s="123" t="s">
        <v>127</v>
      </c>
      <c r="AM32" s="45"/>
      <c r="AN32" s="45"/>
      <c r="AO32" s="45"/>
      <c r="AP32" s="45"/>
      <c r="AQ32" s="45"/>
      <c r="AR32" s="45"/>
      <c r="AS32" s="107"/>
    </row>
    <row r="33" ht="20.1" customHeight="1" spans="1:45">
      <c r="A33" s="17">
        <v>30</v>
      </c>
      <c r="B33" s="18">
        <v>2018130076</v>
      </c>
      <c r="C33" s="123" t="s">
        <v>132</v>
      </c>
      <c r="D33" s="96"/>
      <c r="E33" s="99"/>
      <c r="F33" s="98"/>
      <c r="G33" s="21" t="e">
        <f t="shared" si="0"/>
        <v>#VALUE!</v>
      </c>
      <c r="H33" s="7"/>
      <c r="I33" s="17">
        <v>28</v>
      </c>
      <c r="J33" s="18">
        <v>2018130074</v>
      </c>
      <c r="K33" s="123" t="s">
        <v>130</v>
      </c>
      <c r="L33" s="105" t="s">
        <v>105</v>
      </c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107"/>
      <c r="AH33" s="7"/>
      <c r="AI33" s="7"/>
      <c r="AJ33" s="17">
        <v>26</v>
      </c>
      <c r="AK33" s="18">
        <v>2018130072</v>
      </c>
      <c r="AL33" s="123" t="s">
        <v>128</v>
      </c>
      <c r="AM33" s="45"/>
      <c r="AN33" s="45"/>
      <c r="AO33" s="45"/>
      <c r="AP33" s="45"/>
      <c r="AQ33" s="45"/>
      <c r="AR33" s="45"/>
      <c r="AS33" s="107"/>
    </row>
    <row r="34" ht="20.1" customHeight="1" spans="1:45">
      <c r="A34" s="17">
        <v>31</v>
      </c>
      <c r="B34" s="18">
        <v>2018130077</v>
      </c>
      <c r="C34" s="123" t="s">
        <v>133</v>
      </c>
      <c r="D34" s="96"/>
      <c r="E34" s="99"/>
      <c r="F34" s="98"/>
      <c r="G34" s="21" t="e">
        <f t="shared" si="0"/>
        <v>#VALUE!</v>
      </c>
      <c r="H34" s="7"/>
      <c r="I34" s="17">
        <v>29</v>
      </c>
      <c r="J34" s="18">
        <v>2018130075</v>
      </c>
      <c r="K34" s="123" t="s">
        <v>131</v>
      </c>
      <c r="L34" s="105" t="s">
        <v>105</v>
      </c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107"/>
      <c r="AH34" s="7"/>
      <c r="AI34" s="7"/>
      <c r="AJ34" s="17">
        <v>27</v>
      </c>
      <c r="AK34" s="18">
        <v>2018130073</v>
      </c>
      <c r="AL34" s="123" t="s">
        <v>129</v>
      </c>
      <c r="AM34" s="45"/>
      <c r="AN34" s="45"/>
      <c r="AO34" s="45"/>
      <c r="AP34" s="45"/>
      <c r="AQ34" s="45"/>
      <c r="AR34" s="45"/>
      <c r="AS34" s="107"/>
    </row>
    <row r="35" ht="20.1" customHeight="1" spans="1:45">
      <c r="A35" s="17">
        <v>32</v>
      </c>
      <c r="B35" s="18">
        <v>2018130078</v>
      </c>
      <c r="C35" s="123" t="s">
        <v>134</v>
      </c>
      <c r="D35" s="96"/>
      <c r="E35" s="99"/>
      <c r="F35" s="98"/>
      <c r="G35" s="21" t="e">
        <f t="shared" si="0"/>
        <v>#VALUE!</v>
      </c>
      <c r="H35" s="7"/>
      <c r="I35" s="17">
        <v>30</v>
      </c>
      <c r="J35" s="18">
        <v>2018130076</v>
      </c>
      <c r="K35" s="123" t="s">
        <v>132</v>
      </c>
      <c r="L35" s="105" t="s">
        <v>105</v>
      </c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107"/>
      <c r="AH35" s="7"/>
      <c r="AI35" s="7"/>
      <c r="AJ35" s="17">
        <v>28</v>
      </c>
      <c r="AK35" s="18">
        <v>2018130074</v>
      </c>
      <c r="AL35" s="123" t="s">
        <v>130</v>
      </c>
      <c r="AM35" s="45"/>
      <c r="AN35" s="45"/>
      <c r="AO35" s="45"/>
      <c r="AP35" s="45"/>
      <c r="AQ35" s="45"/>
      <c r="AR35" s="45"/>
      <c r="AS35" s="107"/>
    </row>
    <row r="36" ht="20.1" customHeight="1" spans="1:45">
      <c r="A36" s="17">
        <v>33</v>
      </c>
      <c r="B36" s="18">
        <v>2018130079</v>
      </c>
      <c r="C36" s="123" t="s">
        <v>135</v>
      </c>
      <c r="D36" s="96"/>
      <c r="E36" s="99"/>
      <c r="F36" s="98"/>
      <c r="G36" s="21" t="e">
        <f t="shared" si="0"/>
        <v>#VALUE!</v>
      </c>
      <c r="H36" s="7"/>
      <c r="I36" s="17">
        <v>31</v>
      </c>
      <c r="J36" s="18">
        <v>2018130077</v>
      </c>
      <c r="K36" s="123" t="s">
        <v>133</v>
      </c>
      <c r="L36" s="105" t="s">
        <v>105</v>
      </c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107"/>
      <c r="AH36" s="7"/>
      <c r="AI36" s="7"/>
      <c r="AJ36" s="17">
        <v>29</v>
      </c>
      <c r="AK36" s="18">
        <v>2018130075</v>
      </c>
      <c r="AL36" s="123" t="s">
        <v>131</v>
      </c>
      <c r="AM36" s="45"/>
      <c r="AN36" s="45"/>
      <c r="AO36" s="45"/>
      <c r="AP36" s="45"/>
      <c r="AQ36" s="45"/>
      <c r="AR36" s="45"/>
      <c r="AS36" s="107"/>
    </row>
    <row r="37" ht="20.1" customHeight="1" spans="1:45">
      <c r="A37" s="17">
        <v>34</v>
      </c>
      <c r="B37" s="18">
        <v>2018130080</v>
      </c>
      <c r="C37" s="123" t="s">
        <v>136</v>
      </c>
      <c r="D37" s="96"/>
      <c r="E37" s="99"/>
      <c r="F37" s="98"/>
      <c r="G37" s="21" t="e">
        <f t="shared" si="0"/>
        <v>#VALUE!</v>
      </c>
      <c r="H37" s="7"/>
      <c r="I37" s="17">
        <v>32</v>
      </c>
      <c r="J37" s="18">
        <v>2018130078</v>
      </c>
      <c r="K37" s="123" t="s">
        <v>134</v>
      </c>
      <c r="L37" s="105" t="s">
        <v>105</v>
      </c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107"/>
      <c r="AH37" s="7"/>
      <c r="AI37" s="7"/>
      <c r="AJ37" s="17">
        <v>30</v>
      </c>
      <c r="AK37" s="18">
        <v>2018130076</v>
      </c>
      <c r="AL37" s="123" t="s">
        <v>132</v>
      </c>
      <c r="AM37" s="45"/>
      <c r="AN37" s="45"/>
      <c r="AO37" s="45"/>
      <c r="AP37" s="45"/>
      <c r="AQ37" s="45"/>
      <c r="AR37" s="45"/>
      <c r="AS37" s="107"/>
    </row>
    <row r="38" ht="20.1" customHeight="1" spans="1:45">
      <c r="A38" s="17">
        <v>35</v>
      </c>
      <c r="B38" s="18">
        <v>2018130081</v>
      </c>
      <c r="C38" s="123" t="s">
        <v>137</v>
      </c>
      <c r="D38" s="96"/>
      <c r="E38" s="99"/>
      <c r="F38" s="98"/>
      <c r="G38" s="21" t="e">
        <f t="shared" si="0"/>
        <v>#VALUE!</v>
      </c>
      <c r="H38" s="7"/>
      <c r="I38" s="17">
        <v>33</v>
      </c>
      <c r="J38" s="18">
        <v>2018130079</v>
      </c>
      <c r="K38" s="123" t="s">
        <v>135</v>
      </c>
      <c r="L38" s="105" t="s">
        <v>105</v>
      </c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107"/>
      <c r="AH38" s="7"/>
      <c r="AI38" s="7"/>
      <c r="AJ38" s="17">
        <v>31</v>
      </c>
      <c r="AK38" s="18">
        <v>2018130077</v>
      </c>
      <c r="AL38" s="123" t="s">
        <v>133</v>
      </c>
      <c r="AM38" s="45"/>
      <c r="AN38" s="45"/>
      <c r="AO38" s="45"/>
      <c r="AP38" s="45"/>
      <c r="AQ38" s="45"/>
      <c r="AR38" s="45"/>
      <c r="AS38" s="107"/>
    </row>
    <row r="39" ht="20.1" customHeight="1" spans="1:45">
      <c r="A39" s="17">
        <v>36</v>
      </c>
      <c r="B39" s="18">
        <v>2018130082</v>
      </c>
      <c r="C39" s="123" t="s">
        <v>138</v>
      </c>
      <c r="D39" s="96"/>
      <c r="E39" s="99"/>
      <c r="F39" s="98"/>
      <c r="G39" s="21" t="e">
        <f t="shared" si="0"/>
        <v>#VALUE!</v>
      </c>
      <c r="H39" s="7"/>
      <c r="I39" s="17">
        <v>34</v>
      </c>
      <c r="J39" s="18">
        <v>2018130080</v>
      </c>
      <c r="K39" s="123" t="s">
        <v>136</v>
      </c>
      <c r="L39" s="105" t="s">
        <v>105</v>
      </c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107"/>
      <c r="AH39" s="7"/>
      <c r="AI39" s="7"/>
      <c r="AJ39" s="17">
        <v>32</v>
      </c>
      <c r="AK39" s="18">
        <v>2018130078</v>
      </c>
      <c r="AL39" s="123" t="s">
        <v>134</v>
      </c>
      <c r="AM39" s="45"/>
      <c r="AN39" s="45"/>
      <c r="AO39" s="45"/>
      <c r="AP39" s="45"/>
      <c r="AQ39" s="45"/>
      <c r="AR39" s="45"/>
      <c r="AS39" s="107"/>
    </row>
    <row r="40" ht="20.1" customHeight="1" spans="1:45">
      <c r="A40" s="17">
        <v>37</v>
      </c>
      <c r="B40" s="18">
        <v>2018130083</v>
      </c>
      <c r="C40" s="123" t="s">
        <v>139</v>
      </c>
      <c r="D40" s="96"/>
      <c r="E40" s="99"/>
      <c r="F40" s="98"/>
      <c r="G40" s="21" t="e">
        <f t="shared" si="0"/>
        <v>#VALUE!</v>
      </c>
      <c r="H40" s="7"/>
      <c r="I40" s="17">
        <v>35</v>
      </c>
      <c r="J40" s="18">
        <v>2018130081</v>
      </c>
      <c r="K40" s="123" t="s">
        <v>137</v>
      </c>
      <c r="L40" s="105" t="s">
        <v>105</v>
      </c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107"/>
      <c r="AH40" s="7"/>
      <c r="AI40" s="7"/>
      <c r="AJ40" s="17">
        <v>33</v>
      </c>
      <c r="AK40" s="18">
        <v>2018130079</v>
      </c>
      <c r="AL40" s="123" t="s">
        <v>135</v>
      </c>
      <c r="AM40" s="45"/>
      <c r="AN40" s="45"/>
      <c r="AO40" s="45"/>
      <c r="AP40" s="45"/>
      <c r="AQ40" s="45"/>
      <c r="AR40" s="45"/>
      <c r="AS40" s="107"/>
    </row>
    <row r="41" ht="20.1" customHeight="1" spans="1:45">
      <c r="A41" s="17">
        <v>38</v>
      </c>
      <c r="B41" s="18">
        <v>2018130084</v>
      </c>
      <c r="C41" s="123" t="s">
        <v>140</v>
      </c>
      <c r="D41" s="96"/>
      <c r="E41" s="99"/>
      <c r="F41" s="98"/>
      <c r="G41" s="21" t="e">
        <f t="shared" si="0"/>
        <v>#VALUE!</v>
      </c>
      <c r="H41" s="7"/>
      <c r="I41" s="17">
        <v>36</v>
      </c>
      <c r="J41" s="18">
        <v>2018130082</v>
      </c>
      <c r="K41" s="123" t="s">
        <v>138</v>
      </c>
      <c r="L41" s="105" t="s">
        <v>105</v>
      </c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107"/>
      <c r="AH41" s="7"/>
      <c r="AI41" s="7"/>
      <c r="AJ41" s="17">
        <v>34</v>
      </c>
      <c r="AK41" s="18">
        <v>2018130080</v>
      </c>
      <c r="AL41" s="123" t="s">
        <v>136</v>
      </c>
      <c r="AM41" s="45"/>
      <c r="AN41" s="45"/>
      <c r="AO41" s="45"/>
      <c r="AP41" s="45"/>
      <c r="AQ41" s="45"/>
      <c r="AR41" s="45"/>
      <c r="AS41" s="107"/>
    </row>
    <row r="42" ht="20.1" customHeight="1" spans="1:45">
      <c r="A42" s="17">
        <v>39</v>
      </c>
      <c r="B42" s="18">
        <v>2018130085</v>
      </c>
      <c r="C42" s="123" t="s">
        <v>141</v>
      </c>
      <c r="D42" s="96"/>
      <c r="E42" s="99"/>
      <c r="F42" s="98"/>
      <c r="G42" s="21" t="e">
        <f t="shared" si="0"/>
        <v>#VALUE!</v>
      </c>
      <c r="H42" s="7"/>
      <c r="I42" s="17">
        <v>37</v>
      </c>
      <c r="J42" s="18">
        <v>2018130083</v>
      </c>
      <c r="K42" s="123" t="s">
        <v>139</v>
      </c>
      <c r="L42" s="105" t="s">
        <v>105</v>
      </c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107"/>
      <c r="AH42" s="7"/>
      <c r="AI42" s="7"/>
      <c r="AJ42" s="17">
        <v>35</v>
      </c>
      <c r="AK42" s="18">
        <v>2018130081</v>
      </c>
      <c r="AL42" s="123" t="s">
        <v>137</v>
      </c>
      <c r="AM42" s="45"/>
      <c r="AN42" s="45"/>
      <c r="AO42" s="45"/>
      <c r="AP42" s="45"/>
      <c r="AQ42" s="45"/>
      <c r="AR42" s="45"/>
      <c r="AS42" s="107"/>
    </row>
    <row r="43" ht="20.1" customHeight="1" spans="1:45">
      <c r="A43" s="17">
        <v>40</v>
      </c>
      <c r="B43" s="18">
        <v>2018130086</v>
      </c>
      <c r="C43" s="123" t="s">
        <v>142</v>
      </c>
      <c r="D43" s="96"/>
      <c r="E43" s="99"/>
      <c r="F43" s="98"/>
      <c r="G43" s="21" t="e">
        <f t="shared" si="0"/>
        <v>#VALUE!</v>
      </c>
      <c r="H43" s="7"/>
      <c r="I43" s="17">
        <v>38</v>
      </c>
      <c r="J43" s="18">
        <v>2018130084</v>
      </c>
      <c r="K43" s="123" t="s">
        <v>140</v>
      </c>
      <c r="L43" s="105" t="s">
        <v>105</v>
      </c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107"/>
      <c r="AH43" s="7"/>
      <c r="AI43" s="7"/>
      <c r="AJ43" s="17">
        <v>36</v>
      </c>
      <c r="AK43" s="18">
        <v>2018130082</v>
      </c>
      <c r="AL43" s="123" t="s">
        <v>138</v>
      </c>
      <c r="AM43" s="45"/>
      <c r="AN43" s="45"/>
      <c r="AO43" s="45"/>
      <c r="AP43" s="45"/>
      <c r="AQ43" s="45"/>
      <c r="AR43" s="45"/>
      <c r="AS43" s="107"/>
    </row>
    <row r="44" ht="20.1" customHeight="1" spans="1:45">
      <c r="A44" s="17">
        <v>41</v>
      </c>
      <c r="B44" s="18">
        <v>2018130087</v>
      </c>
      <c r="C44" s="123" t="s">
        <v>143</v>
      </c>
      <c r="D44" s="96"/>
      <c r="E44" s="99"/>
      <c r="F44" s="98"/>
      <c r="G44" s="21" t="e">
        <f t="shared" si="0"/>
        <v>#VALUE!</v>
      </c>
      <c r="H44" s="7"/>
      <c r="I44" s="17">
        <v>39</v>
      </c>
      <c r="J44" s="18">
        <v>2018130085</v>
      </c>
      <c r="K44" s="123" t="s">
        <v>141</v>
      </c>
      <c r="L44" s="105" t="s">
        <v>105</v>
      </c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107"/>
      <c r="AH44" s="7"/>
      <c r="AI44" s="7"/>
      <c r="AJ44" s="17">
        <v>37</v>
      </c>
      <c r="AK44" s="18">
        <v>2018130083</v>
      </c>
      <c r="AL44" s="123" t="s">
        <v>139</v>
      </c>
      <c r="AM44" s="45"/>
      <c r="AN44" s="45"/>
      <c r="AO44" s="45"/>
      <c r="AP44" s="45"/>
      <c r="AQ44" s="45"/>
      <c r="AR44" s="45"/>
      <c r="AS44" s="107"/>
    </row>
    <row r="45" ht="20.1" customHeight="1" spans="1:45">
      <c r="A45" s="17">
        <v>42</v>
      </c>
      <c r="B45" s="18">
        <v>2018130088</v>
      </c>
      <c r="C45" s="123" t="s">
        <v>144</v>
      </c>
      <c r="D45" s="96"/>
      <c r="E45" s="99"/>
      <c r="F45" s="98"/>
      <c r="G45" s="21" t="e">
        <f t="shared" si="0"/>
        <v>#VALUE!</v>
      </c>
      <c r="H45" s="7"/>
      <c r="I45" s="17">
        <v>40</v>
      </c>
      <c r="J45" s="18">
        <v>2018130086</v>
      </c>
      <c r="K45" s="123" t="s">
        <v>142</v>
      </c>
      <c r="L45" s="105" t="s">
        <v>105</v>
      </c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57"/>
      <c r="AE45" s="45"/>
      <c r="AF45" s="45"/>
      <c r="AG45" s="107"/>
      <c r="AH45" s="7"/>
      <c r="AI45" s="7"/>
      <c r="AJ45" s="17">
        <v>38</v>
      </c>
      <c r="AK45" s="18">
        <v>2018130084</v>
      </c>
      <c r="AL45" s="123" t="s">
        <v>140</v>
      </c>
      <c r="AM45" s="45"/>
      <c r="AN45" s="45"/>
      <c r="AO45" s="45"/>
      <c r="AP45" s="45"/>
      <c r="AQ45" s="45"/>
      <c r="AR45" s="45"/>
      <c r="AS45" s="107"/>
    </row>
    <row r="46" ht="20.1" customHeight="1" spans="1:45">
      <c r="A46" s="17">
        <v>43</v>
      </c>
      <c r="B46" s="18">
        <v>2018130089</v>
      </c>
      <c r="C46" s="123" t="s">
        <v>145</v>
      </c>
      <c r="D46" s="96"/>
      <c r="E46" s="99"/>
      <c r="F46" s="98"/>
      <c r="G46" s="21" t="e">
        <f t="shared" si="0"/>
        <v>#VALUE!</v>
      </c>
      <c r="H46" s="7"/>
      <c r="I46" s="17">
        <v>41</v>
      </c>
      <c r="J46" s="18">
        <v>2018130087</v>
      </c>
      <c r="K46" s="123" t="s">
        <v>143</v>
      </c>
      <c r="L46" s="105" t="s">
        <v>105</v>
      </c>
      <c r="M46" s="45"/>
      <c r="N46" s="45"/>
      <c r="O46" s="45"/>
      <c r="P46" s="45"/>
      <c r="Q46" s="45"/>
      <c r="R46" s="45"/>
      <c r="S46" s="45"/>
      <c r="T46" s="45"/>
      <c r="U46" s="57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107"/>
      <c r="AH46" s="7"/>
      <c r="AI46" s="7"/>
      <c r="AJ46" s="17">
        <v>39</v>
      </c>
      <c r="AK46" s="18">
        <v>2018130085</v>
      </c>
      <c r="AL46" s="123" t="s">
        <v>141</v>
      </c>
      <c r="AM46" s="45"/>
      <c r="AN46" s="45"/>
      <c r="AO46" s="45"/>
      <c r="AP46" s="45"/>
      <c r="AQ46" s="45"/>
      <c r="AR46" s="45"/>
      <c r="AS46" s="107"/>
    </row>
    <row r="47" ht="20.1" customHeight="1" spans="1:45">
      <c r="A47" s="17">
        <v>44</v>
      </c>
      <c r="B47" s="18">
        <v>2018130090</v>
      </c>
      <c r="C47" s="123" t="s">
        <v>146</v>
      </c>
      <c r="D47" s="96"/>
      <c r="E47" s="99"/>
      <c r="F47" s="98"/>
      <c r="G47" s="21" t="e">
        <f t="shared" si="0"/>
        <v>#VALUE!</v>
      </c>
      <c r="H47" s="7"/>
      <c r="I47" s="17">
        <v>42</v>
      </c>
      <c r="J47" s="18">
        <v>2018130088</v>
      </c>
      <c r="K47" s="123" t="s">
        <v>144</v>
      </c>
      <c r="L47" s="105" t="s">
        <v>105</v>
      </c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107"/>
      <c r="AH47" s="7"/>
      <c r="AI47" s="7"/>
      <c r="AJ47" s="17">
        <v>40</v>
      </c>
      <c r="AK47" s="18">
        <v>2018130086</v>
      </c>
      <c r="AL47" s="123" t="s">
        <v>142</v>
      </c>
      <c r="AM47" s="45"/>
      <c r="AN47" s="45"/>
      <c r="AO47" s="45"/>
      <c r="AP47" s="45"/>
      <c r="AQ47" s="45"/>
      <c r="AR47" s="45"/>
      <c r="AS47" s="107"/>
    </row>
    <row r="48" ht="20.1" customHeight="1" spans="1:45">
      <c r="A48" s="47">
        <v>45</v>
      </c>
      <c r="B48" s="18">
        <v>2018130091</v>
      </c>
      <c r="C48" s="123" t="s">
        <v>147</v>
      </c>
      <c r="D48" s="112"/>
      <c r="E48" s="113"/>
      <c r="F48" s="114"/>
      <c r="G48" s="27" t="e">
        <f t="shared" si="0"/>
        <v>#VALUE!</v>
      </c>
      <c r="H48" s="7"/>
      <c r="I48" s="17">
        <v>43</v>
      </c>
      <c r="J48" s="18">
        <v>2018130089</v>
      </c>
      <c r="K48" s="123" t="s">
        <v>145</v>
      </c>
      <c r="L48" s="105" t="s">
        <v>105</v>
      </c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107"/>
      <c r="AH48" s="7"/>
      <c r="AI48" s="7"/>
      <c r="AJ48" s="17">
        <v>41</v>
      </c>
      <c r="AK48" s="18">
        <v>2018130087</v>
      </c>
      <c r="AL48" s="123" t="s">
        <v>143</v>
      </c>
      <c r="AM48" s="45"/>
      <c r="AN48" s="45"/>
      <c r="AO48" s="45"/>
      <c r="AP48" s="45"/>
      <c r="AQ48" s="45"/>
      <c r="AR48" s="45"/>
      <c r="AS48" s="107"/>
    </row>
    <row r="49" ht="20.1" customHeight="1" spans="1:45">
      <c r="A49" s="28"/>
      <c r="B49" s="78"/>
      <c r="C49" s="100"/>
      <c r="D49" s="29"/>
      <c r="E49" s="29"/>
      <c r="F49" s="29"/>
      <c r="G49" s="29"/>
      <c r="H49" s="7"/>
      <c r="I49" s="17">
        <v>44</v>
      </c>
      <c r="J49" s="18">
        <v>2018130090</v>
      </c>
      <c r="K49" s="123" t="s">
        <v>146</v>
      </c>
      <c r="L49" s="105" t="s">
        <v>105</v>
      </c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107"/>
      <c r="AH49" s="7"/>
      <c r="AI49" s="7"/>
      <c r="AJ49" s="17">
        <v>42</v>
      </c>
      <c r="AK49" s="18">
        <v>2018130088</v>
      </c>
      <c r="AL49" s="123" t="s">
        <v>144</v>
      </c>
      <c r="AM49" s="45"/>
      <c r="AN49" s="45"/>
      <c r="AO49" s="45"/>
      <c r="AP49" s="45"/>
      <c r="AQ49" s="45"/>
      <c r="AR49" s="45"/>
      <c r="AS49" s="107"/>
    </row>
    <row r="50" ht="20.1" customHeight="1" spans="1:45">
      <c r="A50" s="31" t="s">
        <v>81</v>
      </c>
      <c r="B50" s="31"/>
      <c r="C50" s="31"/>
      <c r="D50" s="31"/>
      <c r="E50" s="31"/>
      <c r="F50" s="31"/>
      <c r="G50" s="31"/>
      <c r="H50" s="7"/>
      <c r="I50" s="47">
        <v>45</v>
      </c>
      <c r="J50" s="24">
        <v>2018130091</v>
      </c>
      <c r="K50" s="124" t="s">
        <v>147</v>
      </c>
      <c r="L50" s="110" t="s">
        <v>105</v>
      </c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111"/>
      <c r="AH50" s="7"/>
      <c r="AI50" s="7"/>
      <c r="AJ50" s="17">
        <v>43</v>
      </c>
      <c r="AK50" s="18">
        <v>2018130089</v>
      </c>
      <c r="AL50" s="123" t="s">
        <v>145</v>
      </c>
      <c r="AM50" s="45"/>
      <c r="AN50" s="45"/>
      <c r="AO50" s="45"/>
      <c r="AP50" s="45"/>
      <c r="AQ50" s="45"/>
      <c r="AR50" s="45"/>
      <c r="AS50" s="107"/>
    </row>
    <row r="51" ht="20.1" customHeight="1" spans="1:45">
      <c r="A51" s="32" t="s">
        <v>82</v>
      </c>
      <c r="B51" s="32"/>
      <c r="C51" s="32"/>
      <c r="D51" s="32"/>
      <c r="E51" s="32"/>
      <c r="F51" s="32"/>
      <c r="G51" s="32"/>
      <c r="H51" s="7"/>
      <c r="I51" s="77"/>
      <c r="J51" s="78"/>
      <c r="K51" s="100"/>
      <c r="L51" s="92"/>
      <c r="M51" s="92"/>
      <c r="N51" s="106"/>
      <c r="O51" s="106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106"/>
      <c r="AD51" s="106"/>
      <c r="AE51" s="106"/>
      <c r="AF51" s="106"/>
      <c r="AG51" s="106"/>
      <c r="AH51" s="7"/>
      <c r="AI51" s="7"/>
      <c r="AJ51" s="17">
        <v>44</v>
      </c>
      <c r="AK51" s="18">
        <v>2018130090</v>
      </c>
      <c r="AL51" s="123" t="s">
        <v>146</v>
      </c>
      <c r="AM51" s="45"/>
      <c r="AN51" s="45"/>
      <c r="AO51" s="45"/>
      <c r="AP51" s="45"/>
      <c r="AQ51" s="45"/>
      <c r="AR51" s="45"/>
      <c r="AS51" s="107"/>
    </row>
    <row r="52" ht="24.75" customHeight="1" spans="1:45">
      <c r="A52" s="32" t="s">
        <v>83</v>
      </c>
      <c r="B52" s="32"/>
      <c r="C52" s="32"/>
      <c r="D52" s="32"/>
      <c r="E52" s="32"/>
      <c r="F52" s="32"/>
      <c r="G52" s="32"/>
      <c r="H52" s="7"/>
      <c r="I52" s="51" t="s">
        <v>84</v>
      </c>
      <c r="J52" s="51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47">
        <v>45</v>
      </c>
      <c r="AK52" s="24">
        <v>2018130091</v>
      </c>
      <c r="AL52" s="124" t="s">
        <v>147</v>
      </c>
      <c r="AM52" s="50"/>
      <c r="AN52" s="50"/>
      <c r="AO52" s="50"/>
      <c r="AP52" s="50"/>
      <c r="AQ52" s="50"/>
      <c r="AR52" s="50"/>
      <c r="AS52" s="111"/>
    </row>
    <row r="53" ht="20.1" customHeight="1" spans="1:45">
      <c r="A53" s="32" t="s">
        <v>85</v>
      </c>
      <c r="B53" s="32"/>
      <c r="C53" s="32"/>
      <c r="D53" s="32"/>
      <c r="E53" s="32"/>
      <c r="F53" s="32"/>
      <c r="G53" s="32"/>
      <c r="H53" s="7"/>
      <c r="I53" s="52" t="s">
        <v>86</v>
      </c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7"/>
      <c r="AI53" s="7"/>
      <c r="AJ53" s="77"/>
      <c r="AK53" s="78"/>
      <c r="AL53" s="100"/>
      <c r="AM53" s="92"/>
      <c r="AN53" s="92"/>
      <c r="AO53" s="92"/>
      <c r="AP53" s="92"/>
      <c r="AQ53" s="92"/>
      <c r="AR53" s="92"/>
      <c r="AS53" s="92"/>
    </row>
    <row r="54" ht="32.25" customHeight="1" spans="1:45">
      <c r="A54" s="101" t="s">
        <v>87</v>
      </c>
      <c r="B54" s="101"/>
      <c r="C54" s="101"/>
      <c r="D54" s="101"/>
      <c r="E54" s="101"/>
      <c r="F54" s="101"/>
      <c r="G54" s="101"/>
      <c r="H54" s="7"/>
      <c r="I54" s="52" t="s">
        <v>88</v>
      </c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7"/>
      <c r="AI54" s="7"/>
      <c r="AJ54" s="79" t="s">
        <v>89</v>
      </c>
      <c r="AK54" s="79"/>
      <c r="AL54" s="79"/>
      <c r="AM54" s="79"/>
      <c r="AN54" s="79"/>
      <c r="AO54" s="79"/>
      <c r="AP54" s="79"/>
      <c r="AQ54" s="79"/>
      <c r="AR54" s="79"/>
      <c r="AS54" s="79"/>
    </row>
    <row r="55" ht="30" customHeight="1" spans="1:45">
      <c r="A55" s="7"/>
      <c r="B55" s="7"/>
      <c r="C55" s="7"/>
      <c r="D55" s="7"/>
      <c r="E55" s="7"/>
      <c r="F55" s="7"/>
      <c r="G55" s="7"/>
      <c r="H55" s="7"/>
      <c r="I55" s="53" t="s">
        <v>90</v>
      </c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7"/>
      <c r="AI55" s="7"/>
      <c r="AJ55" s="80" t="s">
        <v>91</v>
      </c>
      <c r="AK55" s="80"/>
      <c r="AL55" s="80"/>
      <c r="AM55" s="80"/>
      <c r="AN55" s="80"/>
      <c r="AO55" s="80"/>
      <c r="AP55" s="80"/>
      <c r="AQ55" s="80"/>
      <c r="AR55" s="80"/>
      <c r="AS55" s="80"/>
    </row>
    <row r="56" ht="24" customHeight="1" spans="1:45">
      <c r="A56" s="7"/>
      <c r="B56" s="7"/>
      <c r="C56" s="7"/>
      <c r="D56" s="7"/>
      <c r="E56" s="7"/>
      <c r="F56" s="7"/>
      <c r="G56" s="7"/>
      <c r="H56" s="7"/>
      <c r="I56" s="53" t="s">
        <v>92</v>
      </c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7"/>
      <c r="AI56" s="7"/>
      <c r="AJ56" s="81" t="s">
        <v>93</v>
      </c>
      <c r="AK56" s="81"/>
      <c r="AL56" s="81"/>
      <c r="AM56" s="81"/>
      <c r="AN56" s="81"/>
      <c r="AO56" s="81"/>
      <c r="AP56" s="81"/>
      <c r="AQ56" s="81"/>
      <c r="AR56" s="81"/>
      <c r="AS56" s="81"/>
    </row>
    <row r="57" ht="31.5" customHeight="1" spans="1:45">
      <c r="A57" s="7"/>
      <c r="B57" s="7"/>
      <c r="C57" s="7"/>
      <c r="D57" s="7"/>
      <c r="E57" s="7"/>
      <c r="F57" s="7"/>
      <c r="G57" s="7"/>
      <c r="H57" s="7"/>
      <c r="I57" s="54" t="s">
        <v>94</v>
      </c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7"/>
      <c r="AI57" s="7"/>
      <c r="AJ57" s="81" t="s">
        <v>95</v>
      </c>
      <c r="AK57" s="81"/>
      <c r="AL57" s="81"/>
      <c r="AM57" s="81"/>
      <c r="AN57" s="81"/>
      <c r="AO57" s="81"/>
      <c r="AP57" s="81"/>
      <c r="AQ57" s="81"/>
      <c r="AR57" s="81"/>
      <c r="AS57" s="81"/>
    </row>
    <row r="58" ht="20.1" customHeight="1" spans="1:45">
      <c r="A58" s="7"/>
      <c r="B58" s="7"/>
      <c r="C58" s="7"/>
      <c r="D58" s="7"/>
      <c r="E58" s="7"/>
      <c r="F58" s="7"/>
      <c r="G58" s="7"/>
      <c r="H58" s="7"/>
      <c r="I58" s="55" t="s">
        <v>96</v>
      </c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7"/>
      <c r="AI58" s="7"/>
      <c r="AJ58" s="81" t="s">
        <v>97</v>
      </c>
      <c r="AK58" s="81"/>
      <c r="AL58" s="81"/>
      <c r="AM58" s="81"/>
      <c r="AN58" s="81"/>
      <c r="AO58" s="81"/>
      <c r="AP58" s="81"/>
      <c r="AQ58" s="81"/>
      <c r="AR58" s="81"/>
      <c r="AS58" s="81"/>
    </row>
    <row r="59" ht="20.1" customHeight="1" spans="1:45">
      <c r="A59" s="7"/>
      <c r="B59" s="7"/>
      <c r="C59" s="7"/>
      <c r="D59" s="7"/>
      <c r="E59" s="7"/>
      <c r="F59" s="7"/>
      <c r="G59" s="7"/>
      <c r="H59" s="7"/>
      <c r="I59" s="101" t="s">
        <v>148</v>
      </c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  <c r="AC59" s="101"/>
      <c r="AD59" s="101"/>
      <c r="AE59" s="101"/>
      <c r="AF59" s="101"/>
      <c r="AG59" s="101"/>
      <c r="AH59" s="7"/>
      <c r="AI59" s="7"/>
      <c r="AJ59" s="82" t="s">
        <v>99</v>
      </c>
      <c r="AK59" s="83"/>
      <c r="AL59" s="83"/>
      <c r="AM59" s="83"/>
      <c r="AN59" s="83"/>
      <c r="AO59" s="83"/>
      <c r="AP59" s="83"/>
      <c r="AQ59" s="83"/>
      <c r="AR59" s="83"/>
      <c r="AS59" s="83"/>
    </row>
    <row r="60" ht="20.1" customHeight="1" spans="8:35">
      <c r="H60" s="7"/>
      <c r="AH60" s="7"/>
      <c r="AI60" s="7"/>
    </row>
    <row r="61" ht="20.1" customHeight="1" spans="8:35">
      <c r="H61" s="7"/>
      <c r="AH61" s="7"/>
      <c r="AI61" s="7"/>
    </row>
  </sheetData>
  <mergeCells count="46">
    <mergeCell ref="A1:G1"/>
    <mergeCell ref="I1:AG1"/>
    <mergeCell ref="AJ1:AS1"/>
    <mergeCell ref="A2:G2"/>
    <mergeCell ref="I2:J2"/>
    <mergeCell ref="M2:N2"/>
    <mergeCell ref="O2:Q2"/>
    <mergeCell ref="R2:AB2"/>
    <mergeCell ref="AC2:AF2"/>
    <mergeCell ref="AJ2:AS2"/>
    <mergeCell ref="I3:J3"/>
    <mergeCell ref="M3:Q3"/>
    <mergeCell ref="R3:U3"/>
    <mergeCell ref="V3:AB3"/>
    <mergeCell ref="AC3:AF3"/>
    <mergeCell ref="AJ3:AS3"/>
    <mergeCell ref="M4:AF4"/>
    <mergeCell ref="AM4:AR4"/>
    <mergeCell ref="AM6:AR6"/>
    <mergeCell ref="A50:G50"/>
    <mergeCell ref="A51:G51"/>
    <mergeCell ref="A52:G52"/>
    <mergeCell ref="A53:G53"/>
    <mergeCell ref="I53:AG53"/>
    <mergeCell ref="A54:G54"/>
    <mergeCell ref="I54:AG54"/>
    <mergeCell ref="AJ54:AS54"/>
    <mergeCell ref="I55:AG55"/>
    <mergeCell ref="AJ55:AS55"/>
    <mergeCell ref="I56:AG56"/>
    <mergeCell ref="AJ56:AS56"/>
    <mergeCell ref="I57:AG57"/>
    <mergeCell ref="AJ57:AS57"/>
    <mergeCell ref="I58:AG58"/>
    <mergeCell ref="AJ58:AS58"/>
    <mergeCell ref="I59:AG59"/>
    <mergeCell ref="AJ59:AS59"/>
    <mergeCell ref="I4:I5"/>
    <mergeCell ref="J4:J5"/>
    <mergeCell ref="K4:K5"/>
    <mergeCell ref="L4:L5"/>
    <mergeCell ref="AG4:AG5"/>
    <mergeCell ref="AJ4:AJ7"/>
    <mergeCell ref="AK4:AK7"/>
    <mergeCell ref="AL4:AL7"/>
    <mergeCell ref="AS4:AS6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S61"/>
  <sheetViews>
    <sheetView topLeftCell="N40" workbookViewId="0">
      <selection activeCell="AJ1" sqref="AJ1:AS56"/>
    </sheetView>
  </sheetViews>
  <sheetFormatPr defaultColWidth="9" defaultRowHeight="13.5"/>
  <cols>
    <col min="1" max="1" width="5.3716814159292" style="93" customWidth="1"/>
    <col min="2" max="2" width="12.3716814159292" style="93" customWidth="1"/>
    <col min="3" max="3" width="9.75221238938053" style="93" customWidth="1"/>
    <col min="4" max="7" width="11.6283185840708" style="93" customWidth="1"/>
    <col min="8" max="8" width="9" style="93"/>
    <col min="9" max="9" width="4.12389380530973" style="93" customWidth="1"/>
    <col min="10" max="10" width="12" style="93" customWidth="1"/>
    <col min="11" max="11" width="8" style="93" customWidth="1"/>
    <col min="12" max="12" width="9" style="93"/>
    <col min="13" max="32" width="3.6283185840708" style="93" customWidth="1"/>
    <col min="33" max="35" width="9" style="93"/>
    <col min="36" max="36" width="4.6283185840708" style="93" customWidth="1"/>
    <col min="37" max="37" width="11.7522123893805" style="93" customWidth="1"/>
    <col min="38" max="16384" width="9" style="93"/>
  </cols>
  <sheetData>
    <row r="1" ht="47.25" customHeight="1" spans="1:45">
      <c r="A1" s="94" t="s">
        <v>0</v>
      </c>
      <c r="B1" s="94"/>
      <c r="C1" s="94"/>
      <c r="D1" s="94"/>
      <c r="E1" s="94"/>
      <c r="F1" s="94"/>
      <c r="G1" s="94"/>
      <c r="H1" s="7"/>
      <c r="I1" s="34" t="s">
        <v>1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7"/>
      <c r="AI1" s="7"/>
      <c r="AJ1" s="59" t="s">
        <v>2</v>
      </c>
      <c r="AK1" s="59"/>
      <c r="AL1" s="59"/>
      <c r="AM1" s="59"/>
      <c r="AN1" s="59"/>
      <c r="AO1" s="59"/>
      <c r="AP1" s="59"/>
      <c r="AQ1" s="59"/>
      <c r="AR1" s="59"/>
      <c r="AS1" s="59"/>
    </row>
    <row r="2" ht="14.25" customHeight="1" spans="1:45">
      <c r="A2" s="10" t="s">
        <v>149</v>
      </c>
      <c r="B2" s="11"/>
      <c r="C2" s="11"/>
      <c r="D2" s="11"/>
      <c r="E2" s="11"/>
      <c r="F2" s="11"/>
      <c r="G2" s="12"/>
      <c r="H2" s="7"/>
      <c r="I2" s="35" t="s">
        <v>4</v>
      </c>
      <c r="J2" s="36"/>
      <c r="K2" s="36" t="s">
        <v>5</v>
      </c>
      <c r="L2" s="36" t="s">
        <v>6</v>
      </c>
      <c r="M2" s="36">
        <v>2</v>
      </c>
      <c r="N2" s="36"/>
      <c r="O2" s="36" t="s">
        <v>7</v>
      </c>
      <c r="P2" s="36"/>
      <c r="Q2" s="36"/>
      <c r="R2" s="36" t="s">
        <v>150</v>
      </c>
      <c r="S2" s="36"/>
      <c r="T2" s="36"/>
      <c r="U2" s="36"/>
      <c r="V2" s="36"/>
      <c r="W2" s="36"/>
      <c r="X2" s="36"/>
      <c r="Y2" s="36"/>
      <c r="Z2" s="36"/>
      <c r="AA2" s="36"/>
      <c r="AB2" s="36"/>
      <c r="AC2" s="36" t="s">
        <v>9</v>
      </c>
      <c r="AD2" s="36"/>
      <c r="AE2" s="36"/>
      <c r="AF2" s="36"/>
      <c r="AG2" s="61" t="s">
        <v>10</v>
      </c>
      <c r="AH2" s="7"/>
      <c r="AI2" s="7"/>
      <c r="AJ2" s="62" t="s">
        <v>151</v>
      </c>
      <c r="AK2" s="63"/>
      <c r="AL2" s="63"/>
      <c r="AM2" s="63"/>
      <c r="AN2" s="63"/>
      <c r="AO2" s="63"/>
      <c r="AP2" s="63"/>
      <c r="AQ2" s="63"/>
      <c r="AR2" s="63"/>
      <c r="AS2" s="84"/>
    </row>
    <row r="3" ht="54" customHeight="1" spans="1:45">
      <c r="A3" s="13" t="s">
        <v>12</v>
      </c>
      <c r="B3" s="14" t="s">
        <v>13</v>
      </c>
      <c r="C3" s="14" t="s">
        <v>14</v>
      </c>
      <c r="D3" s="15" t="s">
        <v>15</v>
      </c>
      <c r="E3" s="15" t="s">
        <v>16</v>
      </c>
      <c r="F3" s="15" t="s">
        <v>17</v>
      </c>
      <c r="G3" s="95" t="s">
        <v>18</v>
      </c>
      <c r="H3" s="7"/>
      <c r="I3" s="37" t="s">
        <v>19</v>
      </c>
      <c r="J3" s="38"/>
      <c r="K3" s="38" t="s">
        <v>20</v>
      </c>
      <c r="L3" s="38" t="s">
        <v>21</v>
      </c>
      <c r="M3" s="38" t="s">
        <v>22</v>
      </c>
      <c r="N3" s="38"/>
      <c r="O3" s="38"/>
      <c r="P3" s="38"/>
      <c r="Q3" s="38"/>
      <c r="R3" s="38" t="s">
        <v>23</v>
      </c>
      <c r="S3" s="38"/>
      <c r="T3" s="38"/>
      <c r="U3" s="38"/>
      <c r="V3" s="56" t="s">
        <v>152</v>
      </c>
      <c r="W3" s="56"/>
      <c r="X3" s="56"/>
      <c r="Y3" s="56"/>
      <c r="Z3" s="56"/>
      <c r="AA3" s="56"/>
      <c r="AB3" s="56"/>
      <c r="AC3" s="38" t="s">
        <v>25</v>
      </c>
      <c r="AD3" s="38"/>
      <c r="AE3" s="38"/>
      <c r="AF3" s="38"/>
      <c r="AG3" s="64" t="s">
        <v>153</v>
      </c>
      <c r="AH3" s="7"/>
      <c r="AI3" s="7"/>
      <c r="AJ3" s="65" t="s">
        <v>27</v>
      </c>
      <c r="AK3" s="66"/>
      <c r="AL3" s="66"/>
      <c r="AM3" s="66"/>
      <c r="AN3" s="66"/>
      <c r="AO3" s="66"/>
      <c r="AP3" s="66"/>
      <c r="AQ3" s="66"/>
      <c r="AR3" s="66"/>
      <c r="AS3" s="85"/>
    </row>
    <row r="4" ht="20.1" customHeight="1" spans="1:45">
      <c r="A4" s="17">
        <v>1</v>
      </c>
      <c r="B4" s="19">
        <v>2018130142</v>
      </c>
      <c r="C4" s="19" t="s">
        <v>154</v>
      </c>
      <c r="D4" s="96"/>
      <c r="E4" s="97"/>
      <c r="F4" s="98"/>
      <c r="G4" s="21" t="e">
        <f t="shared" ref="G4:G45" si="0">C4*25%+E4*37.5%+F4*37.5%</f>
        <v>#VALUE!</v>
      </c>
      <c r="H4" s="7"/>
      <c r="I4" s="39" t="s">
        <v>29</v>
      </c>
      <c r="J4" s="40" t="s">
        <v>13</v>
      </c>
      <c r="K4" s="102" t="s">
        <v>14</v>
      </c>
      <c r="L4" s="103" t="s">
        <v>30</v>
      </c>
      <c r="M4" s="40" t="s">
        <v>31</v>
      </c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67" t="s">
        <v>32</v>
      </c>
      <c r="AH4" s="7"/>
      <c r="AI4" s="7"/>
      <c r="AJ4" s="68" t="s">
        <v>29</v>
      </c>
      <c r="AK4" s="69" t="s">
        <v>13</v>
      </c>
      <c r="AL4" s="69" t="s">
        <v>14</v>
      </c>
      <c r="AM4" s="86" t="s">
        <v>33</v>
      </c>
      <c r="AN4" s="87"/>
      <c r="AO4" s="87"/>
      <c r="AP4" s="87"/>
      <c r="AQ4" s="87"/>
      <c r="AR4" s="87"/>
      <c r="AS4" s="88" t="s">
        <v>34</v>
      </c>
    </row>
    <row r="5" ht="20.1" customHeight="1" spans="1:45">
      <c r="A5" s="17">
        <v>2</v>
      </c>
      <c r="B5" s="19">
        <v>2018130143</v>
      </c>
      <c r="C5" s="19" t="s">
        <v>155</v>
      </c>
      <c r="D5" s="96"/>
      <c r="E5" s="99"/>
      <c r="F5" s="98"/>
      <c r="G5" s="21" t="e">
        <f t="shared" si="0"/>
        <v>#VALUE!</v>
      </c>
      <c r="H5" s="7"/>
      <c r="I5" s="39"/>
      <c r="J5" s="40"/>
      <c r="K5" s="102"/>
      <c r="L5" s="104"/>
      <c r="M5" s="43">
        <v>1</v>
      </c>
      <c r="N5" s="43">
        <v>2</v>
      </c>
      <c r="O5" s="43">
        <v>3</v>
      </c>
      <c r="P5" s="43">
        <v>4</v>
      </c>
      <c r="Q5" s="43">
        <v>5</v>
      </c>
      <c r="R5" s="43">
        <v>6</v>
      </c>
      <c r="S5" s="43">
        <v>7</v>
      </c>
      <c r="T5" s="43">
        <v>8</v>
      </c>
      <c r="U5" s="43">
        <v>9</v>
      </c>
      <c r="V5" s="43">
        <v>10</v>
      </c>
      <c r="W5" s="43">
        <v>11</v>
      </c>
      <c r="X5" s="43">
        <v>12</v>
      </c>
      <c r="Y5" s="43">
        <v>13</v>
      </c>
      <c r="Z5" s="43">
        <v>14</v>
      </c>
      <c r="AA5" s="43">
        <v>15</v>
      </c>
      <c r="AB5" s="43">
        <v>16</v>
      </c>
      <c r="AC5" s="43">
        <v>17</v>
      </c>
      <c r="AD5" s="43">
        <v>18</v>
      </c>
      <c r="AE5" s="43">
        <v>19</v>
      </c>
      <c r="AF5" s="43">
        <v>20</v>
      </c>
      <c r="AG5" s="70"/>
      <c r="AH5" s="7"/>
      <c r="AI5" s="7"/>
      <c r="AJ5" s="71"/>
      <c r="AK5" s="72"/>
      <c r="AL5" s="72"/>
      <c r="AM5" s="40">
        <v>1</v>
      </c>
      <c r="AN5" s="40">
        <v>2</v>
      </c>
      <c r="AO5" s="40">
        <v>3</v>
      </c>
      <c r="AP5" s="40">
        <v>4</v>
      </c>
      <c r="AQ5" s="40">
        <v>5</v>
      </c>
      <c r="AR5" s="40">
        <v>6</v>
      </c>
      <c r="AS5" s="88"/>
    </row>
    <row r="6" ht="20.1" customHeight="1" spans="1:45">
      <c r="A6" s="17">
        <v>3</v>
      </c>
      <c r="B6" s="19">
        <v>2018130144</v>
      </c>
      <c r="C6" s="19" t="s">
        <v>156</v>
      </c>
      <c r="D6" s="96"/>
      <c r="E6" s="99"/>
      <c r="F6" s="98"/>
      <c r="G6" s="21" t="e">
        <f t="shared" si="0"/>
        <v>#VALUE!</v>
      </c>
      <c r="H6" s="7"/>
      <c r="I6" s="17">
        <v>1</v>
      </c>
      <c r="J6" s="19">
        <v>2018130142</v>
      </c>
      <c r="K6" s="19" t="s">
        <v>154</v>
      </c>
      <c r="L6" s="115" t="s">
        <v>157</v>
      </c>
      <c r="M6" s="45"/>
      <c r="N6" s="45"/>
      <c r="O6" s="45"/>
      <c r="P6" s="45"/>
      <c r="Q6" s="45"/>
      <c r="R6" s="45"/>
      <c r="S6" s="45"/>
      <c r="T6" s="45"/>
      <c r="U6" s="45"/>
      <c r="V6" s="57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107"/>
      <c r="AH6" s="7"/>
      <c r="AI6" s="7"/>
      <c r="AJ6" s="71"/>
      <c r="AK6" s="72"/>
      <c r="AL6" s="72"/>
      <c r="AM6" s="86" t="s">
        <v>38</v>
      </c>
      <c r="AN6" s="87"/>
      <c r="AO6" s="87"/>
      <c r="AP6" s="87"/>
      <c r="AQ6" s="87"/>
      <c r="AR6" s="87"/>
      <c r="AS6" s="88"/>
    </row>
    <row r="7" ht="20.1" customHeight="1" spans="1:45">
      <c r="A7" s="17">
        <v>4</v>
      </c>
      <c r="B7" s="19">
        <v>2018130145</v>
      </c>
      <c r="C7" s="19" t="s">
        <v>158</v>
      </c>
      <c r="D7" s="96"/>
      <c r="E7" s="99"/>
      <c r="F7" s="98"/>
      <c r="G7" s="21" t="e">
        <f t="shared" si="0"/>
        <v>#VALUE!</v>
      </c>
      <c r="H7" s="7"/>
      <c r="I7" s="17">
        <v>2</v>
      </c>
      <c r="J7" s="19">
        <v>2018130143</v>
      </c>
      <c r="K7" s="19" t="s">
        <v>155</v>
      </c>
      <c r="L7" s="115" t="s">
        <v>157</v>
      </c>
      <c r="M7" s="45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107"/>
      <c r="AH7" s="7"/>
      <c r="AI7" s="7"/>
      <c r="AJ7" s="74"/>
      <c r="AK7" s="75"/>
      <c r="AL7" s="75"/>
      <c r="AM7" s="108"/>
      <c r="AN7" s="108"/>
      <c r="AO7" s="108"/>
      <c r="AP7" s="108"/>
      <c r="AQ7" s="108"/>
      <c r="AR7" s="108"/>
      <c r="AS7" s="88"/>
    </row>
    <row r="8" ht="20.1" customHeight="1" spans="1:45">
      <c r="A8" s="17">
        <v>5</v>
      </c>
      <c r="B8" s="19">
        <v>2018130146</v>
      </c>
      <c r="C8" s="19" t="s">
        <v>159</v>
      </c>
      <c r="D8" s="96"/>
      <c r="E8" s="99"/>
      <c r="F8" s="98"/>
      <c r="G8" s="21" t="e">
        <f t="shared" si="0"/>
        <v>#VALUE!</v>
      </c>
      <c r="H8" s="7"/>
      <c r="I8" s="17">
        <v>3</v>
      </c>
      <c r="J8" s="19">
        <v>2018130144</v>
      </c>
      <c r="K8" s="19" t="s">
        <v>156</v>
      </c>
      <c r="L8" s="115" t="s">
        <v>157</v>
      </c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107"/>
      <c r="AH8" s="7"/>
      <c r="AI8" s="7"/>
      <c r="AJ8" s="17">
        <v>1</v>
      </c>
      <c r="AK8" s="19">
        <v>2018130142</v>
      </c>
      <c r="AL8" s="19" t="s">
        <v>154</v>
      </c>
      <c r="AM8" s="45"/>
      <c r="AN8" s="45"/>
      <c r="AO8" s="45"/>
      <c r="AP8" s="45"/>
      <c r="AQ8" s="45"/>
      <c r="AR8" s="45"/>
      <c r="AS8" s="107"/>
    </row>
    <row r="9" ht="20.1" customHeight="1" spans="1:45">
      <c r="A9" s="17">
        <v>6</v>
      </c>
      <c r="B9" s="19">
        <v>2018130147</v>
      </c>
      <c r="C9" s="19" t="s">
        <v>160</v>
      </c>
      <c r="D9" s="96"/>
      <c r="E9" s="99"/>
      <c r="F9" s="98"/>
      <c r="G9" s="21" t="e">
        <f t="shared" si="0"/>
        <v>#VALUE!</v>
      </c>
      <c r="H9" s="7"/>
      <c r="I9" s="17">
        <v>4</v>
      </c>
      <c r="J9" s="19">
        <v>2018130145</v>
      </c>
      <c r="K9" s="19" t="s">
        <v>158</v>
      </c>
      <c r="L9" s="115" t="s">
        <v>157</v>
      </c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107"/>
      <c r="AH9" s="7"/>
      <c r="AI9" s="7"/>
      <c r="AJ9" s="17">
        <v>2</v>
      </c>
      <c r="AK9" s="19">
        <v>2018130143</v>
      </c>
      <c r="AL9" s="19" t="s">
        <v>155</v>
      </c>
      <c r="AM9" s="45"/>
      <c r="AN9" s="45"/>
      <c r="AO9" s="45"/>
      <c r="AP9" s="45"/>
      <c r="AQ9" s="45"/>
      <c r="AR9" s="45"/>
      <c r="AS9" s="107"/>
    </row>
    <row r="10" ht="20.1" customHeight="1" spans="1:45">
      <c r="A10" s="17">
        <v>7</v>
      </c>
      <c r="B10" s="19">
        <v>2018130148</v>
      </c>
      <c r="C10" s="19" t="s">
        <v>161</v>
      </c>
      <c r="D10" s="96"/>
      <c r="E10" s="99"/>
      <c r="F10" s="98"/>
      <c r="G10" s="21" t="e">
        <f t="shared" si="0"/>
        <v>#VALUE!</v>
      </c>
      <c r="H10" s="7"/>
      <c r="I10" s="17">
        <v>5</v>
      </c>
      <c r="J10" s="19">
        <v>2018130146</v>
      </c>
      <c r="K10" s="19" t="s">
        <v>159</v>
      </c>
      <c r="L10" s="115" t="s">
        <v>157</v>
      </c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107"/>
      <c r="AH10" s="7"/>
      <c r="AI10" s="7"/>
      <c r="AJ10" s="17">
        <v>3</v>
      </c>
      <c r="AK10" s="19">
        <v>2018130144</v>
      </c>
      <c r="AL10" s="19" t="s">
        <v>156</v>
      </c>
      <c r="AM10" s="45"/>
      <c r="AN10" s="45"/>
      <c r="AO10" s="45"/>
      <c r="AP10" s="45"/>
      <c r="AQ10" s="45"/>
      <c r="AR10" s="45"/>
      <c r="AS10" s="107"/>
    </row>
    <row r="11" ht="20.1" customHeight="1" spans="1:45">
      <c r="A11" s="17">
        <v>8</v>
      </c>
      <c r="B11" s="19">
        <v>2018130149</v>
      </c>
      <c r="C11" s="19" t="s">
        <v>162</v>
      </c>
      <c r="D11" s="96"/>
      <c r="E11" s="99"/>
      <c r="F11" s="98"/>
      <c r="G11" s="21" t="e">
        <f t="shared" si="0"/>
        <v>#VALUE!</v>
      </c>
      <c r="H11" s="7"/>
      <c r="I11" s="17">
        <v>6</v>
      </c>
      <c r="J11" s="19">
        <v>2018130147</v>
      </c>
      <c r="K11" s="19" t="s">
        <v>160</v>
      </c>
      <c r="L11" s="115" t="s">
        <v>157</v>
      </c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107"/>
      <c r="AH11" s="7"/>
      <c r="AI11" s="7"/>
      <c r="AJ11" s="17">
        <v>4</v>
      </c>
      <c r="AK11" s="19">
        <v>2018130145</v>
      </c>
      <c r="AL11" s="19" t="s">
        <v>158</v>
      </c>
      <c r="AM11" s="45"/>
      <c r="AN11" s="45"/>
      <c r="AO11" s="45"/>
      <c r="AP11" s="45"/>
      <c r="AQ11" s="45"/>
      <c r="AR11" s="45"/>
      <c r="AS11" s="107"/>
    </row>
    <row r="12" ht="20.1" customHeight="1" spans="1:45">
      <c r="A12" s="17">
        <v>9</v>
      </c>
      <c r="B12" s="19">
        <v>2018130150</v>
      </c>
      <c r="C12" s="19" t="s">
        <v>163</v>
      </c>
      <c r="D12" s="96"/>
      <c r="E12" s="99"/>
      <c r="F12" s="98"/>
      <c r="G12" s="21" t="e">
        <f t="shared" si="0"/>
        <v>#VALUE!</v>
      </c>
      <c r="H12" s="7"/>
      <c r="I12" s="17">
        <v>7</v>
      </c>
      <c r="J12" s="19">
        <v>2018130148</v>
      </c>
      <c r="K12" s="19" t="s">
        <v>161</v>
      </c>
      <c r="L12" s="115" t="s">
        <v>157</v>
      </c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107"/>
      <c r="AH12" s="7"/>
      <c r="AI12" s="7"/>
      <c r="AJ12" s="17">
        <v>5</v>
      </c>
      <c r="AK12" s="19">
        <v>2018130146</v>
      </c>
      <c r="AL12" s="19" t="s">
        <v>159</v>
      </c>
      <c r="AM12" s="45"/>
      <c r="AN12" s="45"/>
      <c r="AO12" s="45"/>
      <c r="AP12" s="45"/>
      <c r="AQ12" s="45"/>
      <c r="AR12" s="45"/>
      <c r="AS12" s="107"/>
    </row>
    <row r="13" ht="20.1" customHeight="1" spans="1:45">
      <c r="A13" s="17">
        <v>10</v>
      </c>
      <c r="B13" s="19">
        <v>2018130151</v>
      </c>
      <c r="C13" s="19" t="s">
        <v>164</v>
      </c>
      <c r="D13" s="96"/>
      <c r="E13" s="99"/>
      <c r="F13" s="98"/>
      <c r="G13" s="21" t="e">
        <f t="shared" si="0"/>
        <v>#VALUE!</v>
      </c>
      <c r="H13" s="7"/>
      <c r="I13" s="17">
        <v>8</v>
      </c>
      <c r="J13" s="19">
        <v>2018130149</v>
      </c>
      <c r="K13" s="19" t="s">
        <v>162</v>
      </c>
      <c r="L13" s="115" t="s">
        <v>157</v>
      </c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107"/>
      <c r="AH13" s="7"/>
      <c r="AI13" s="7"/>
      <c r="AJ13" s="17">
        <v>6</v>
      </c>
      <c r="AK13" s="19">
        <v>2018130147</v>
      </c>
      <c r="AL13" s="19" t="s">
        <v>160</v>
      </c>
      <c r="AM13" s="45"/>
      <c r="AN13" s="45"/>
      <c r="AO13" s="45"/>
      <c r="AP13" s="45"/>
      <c r="AQ13" s="45"/>
      <c r="AR13" s="45"/>
      <c r="AS13" s="107"/>
    </row>
    <row r="14" ht="20.1" customHeight="1" spans="1:45">
      <c r="A14" s="17">
        <v>11</v>
      </c>
      <c r="B14" s="19">
        <v>2018130152</v>
      </c>
      <c r="C14" s="19" t="s">
        <v>165</v>
      </c>
      <c r="D14" s="96"/>
      <c r="E14" s="99"/>
      <c r="F14" s="98"/>
      <c r="G14" s="21" t="e">
        <f t="shared" si="0"/>
        <v>#VALUE!</v>
      </c>
      <c r="H14" s="7"/>
      <c r="I14" s="17">
        <v>9</v>
      </c>
      <c r="J14" s="19">
        <v>2018130150</v>
      </c>
      <c r="K14" s="19" t="s">
        <v>163</v>
      </c>
      <c r="L14" s="115" t="s">
        <v>157</v>
      </c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107"/>
      <c r="AH14" s="7"/>
      <c r="AI14" s="7"/>
      <c r="AJ14" s="17">
        <v>7</v>
      </c>
      <c r="AK14" s="19">
        <v>2018130148</v>
      </c>
      <c r="AL14" s="19" t="s">
        <v>161</v>
      </c>
      <c r="AM14" s="45"/>
      <c r="AN14" s="45"/>
      <c r="AO14" s="45"/>
      <c r="AP14" s="45"/>
      <c r="AQ14" s="45"/>
      <c r="AR14" s="45"/>
      <c r="AS14" s="107"/>
    </row>
    <row r="15" ht="20.1" customHeight="1" spans="1:45">
      <c r="A15" s="17">
        <v>12</v>
      </c>
      <c r="B15" s="19">
        <v>2018130153</v>
      </c>
      <c r="C15" s="19" t="s">
        <v>166</v>
      </c>
      <c r="D15" s="96"/>
      <c r="E15" s="99"/>
      <c r="F15" s="98"/>
      <c r="G15" s="21" t="e">
        <f t="shared" si="0"/>
        <v>#VALUE!</v>
      </c>
      <c r="H15" s="7"/>
      <c r="I15" s="17">
        <v>10</v>
      </c>
      <c r="J15" s="19">
        <v>2018130151</v>
      </c>
      <c r="K15" s="19" t="s">
        <v>164</v>
      </c>
      <c r="L15" s="115" t="s">
        <v>157</v>
      </c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107"/>
      <c r="AH15" s="7"/>
      <c r="AI15" s="7"/>
      <c r="AJ15" s="17">
        <v>8</v>
      </c>
      <c r="AK15" s="19">
        <v>2018130149</v>
      </c>
      <c r="AL15" s="19" t="s">
        <v>162</v>
      </c>
      <c r="AM15" s="45"/>
      <c r="AN15" s="45"/>
      <c r="AO15" s="45"/>
      <c r="AP15" s="45"/>
      <c r="AQ15" s="45"/>
      <c r="AR15" s="45"/>
      <c r="AS15" s="107"/>
    </row>
    <row r="16" ht="20.1" customHeight="1" spans="1:45">
      <c r="A16" s="17">
        <v>13</v>
      </c>
      <c r="B16" s="19">
        <v>2018130154</v>
      </c>
      <c r="C16" s="19" t="s">
        <v>167</v>
      </c>
      <c r="D16" s="96"/>
      <c r="E16" s="99"/>
      <c r="F16" s="98"/>
      <c r="G16" s="21" t="e">
        <f t="shared" si="0"/>
        <v>#VALUE!</v>
      </c>
      <c r="H16" s="7"/>
      <c r="I16" s="17">
        <v>11</v>
      </c>
      <c r="J16" s="19">
        <v>2018130152</v>
      </c>
      <c r="K16" s="19" t="s">
        <v>165</v>
      </c>
      <c r="L16" s="115" t="s">
        <v>157</v>
      </c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107"/>
      <c r="AH16" s="7"/>
      <c r="AI16" s="7"/>
      <c r="AJ16" s="17">
        <v>9</v>
      </c>
      <c r="AK16" s="19">
        <v>2018130150</v>
      </c>
      <c r="AL16" s="19" t="s">
        <v>163</v>
      </c>
      <c r="AM16" s="45"/>
      <c r="AN16" s="45"/>
      <c r="AO16" s="45"/>
      <c r="AP16" s="45"/>
      <c r="AQ16" s="45"/>
      <c r="AR16" s="45"/>
      <c r="AS16" s="107"/>
    </row>
    <row r="17" ht="20.1" customHeight="1" spans="1:45">
      <c r="A17" s="17">
        <v>14</v>
      </c>
      <c r="B17" s="19">
        <v>2018130155</v>
      </c>
      <c r="C17" s="19" t="s">
        <v>168</v>
      </c>
      <c r="D17" s="96"/>
      <c r="E17" s="99"/>
      <c r="F17" s="98"/>
      <c r="G17" s="21" t="e">
        <f t="shared" si="0"/>
        <v>#VALUE!</v>
      </c>
      <c r="H17" s="7"/>
      <c r="I17" s="17">
        <v>12</v>
      </c>
      <c r="J17" s="19">
        <v>2018130153</v>
      </c>
      <c r="K17" s="19" t="s">
        <v>166</v>
      </c>
      <c r="L17" s="115" t="s">
        <v>157</v>
      </c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107"/>
      <c r="AH17" s="7"/>
      <c r="AI17" s="7"/>
      <c r="AJ17" s="17">
        <v>10</v>
      </c>
      <c r="AK17" s="19">
        <v>2018130151</v>
      </c>
      <c r="AL17" s="19" t="s">
        <v>164</v>
      </c>
      <c r="AM17" s="45"/>
      <c r="AN17" s="45"/>
      <c r="AO17" s="45"/>
      <c r="AP17" s="45"/>
      <c r="AQ17" s="45"/>
      <c r="AR17" s="45"/>
      <c r="AS17" s="107"/>
    </row>
    <row r="18" ht="20.1" customHeight="1" spans="1:45">
      <c r="A18" s="17">
        <v>15</v>
      </c>
      <c r="B18" s="19">
        <v>2018130156</v>
      </c>
      <c r="C18" s="19" t="s">
        <v>169</v>
      </c>
      <c r="D18" s="96"/>
      <c r="E18" s="99"/>
      <c r="F18" s="98"/>
      <c r="G18" s="21" t="e">
        <f t="shared" si="0"/>
        <v>#VALUE!</v>
      </c>
      <c r="H18" s="7"/>
      <c r="I18" s="17">
        <v>13</v>
      </c>
      <c r="J18" s="19">
        <v>2018130154</v>
      </c>
      <c r="K18" s="19" t="s">
        <v>167</v>
      </c>
      <c r="L18" s="115" t="s">
        <v>157</v>
      </c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107"/>
      <c r="AH18" s="7"/>
      <c r="AI18" s="7"/>
      <c r="AJ18" s="17">
        <v>11</v>
      </c>
      <c r="AK18" s="19">
        <v>2018130152</v>
      </c>
      <c r="AL18" s="19" t="s">
        <v>165</v>
      </c>
      <c r="AM18" s="45"/>
      <c r="AN18" s="45"/>
      <c r="AO18" s="45"/>
      <c r="AP18" s="45"/>
      <c r="AQ18" s="45"/>
      <c r="AR18" s="45"/>
      <c r="AS18" s="107"/>
    </row>
    <row r="19" ht="20.1" customHeight="1" spans="1:45">
      <c r="A19" s="17">
        <v>16</v>
      </c>
      <c r="B19" s="19">
        <v>2018130157</v>
      </c>
      <c r="C19" s="19" t="s">
        <v>170</v>
      </c>
      <c r="D19" s="96"/>
      <c r="E19" s="99"/>
      <c r="F19" s="98"/>
      <c r="G19" s="21" t="e">
        <f t="shared" si="0"/>
        <v>#VALUE!</v>
      </c>
      <c r="H19" s="7"/>
      <c r="I19" s="17">
        <v>14</v>
      </c>
      <c r="J19" s="19">
        <v>2018130155</v>
      </c>
      <c r="K19" s="19" t="s">
        <v>168</v>
      </c>
      <c r="L19" s="115" t="s">
        <v>157</v>
      </c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57"/>
      <c r="Y19" s="45"/>
      <c r="Z19" s="45"/>
      <c r="AA19" s="45"/>
      <c r="AB19" s="45"/>
      <c r="AC19" s="45"/>
      <c r="AD19" s="45"/>
      <c r="AE19" s="45"/>
      <c r="AF19" s="45"/>
      <c r="AG19" s="107"/>
      <c r="AH19" s="7"/>
      <c r="AI19" s="7"/>
      <c r="AJ19" s="17">
        <v>12</v>
      </c>
      <c r="AK19" s="19">
        <v>2018130153</v>
      </c>
      <c r="AL19" s="19" t="s">
        <v>166</v>
      </c>
      <c r="AM19" s="45"/>
      <c r="AN19" s="45"/>
      <c r="AO19" s="45"/>
      <c r="AP19" s="45"/>
      <c r="AQ19" s="45"/>
      <c r="AR19" s="45"/>
      <c r="AS19" s="107"/>
    </row>
    <row r="20" ht="20.1" customHeight="1" spans="1:45">
      <c r="A20" s="17">
        <v>17</v>
      </c>
      <c r="B20" s="19">
        <v>2018130158</v>
      </c>
      <c r="C20" s="19" t="s">
        <v>171</v>
      </c>
      <c r="D20" s="96"/>
      <c r="E20" s="99"/>
      <c r="F20" s="98"/>
      <c r="G20" s="21" t="e">
        <f t="shared" si="0"/>
        <v>#VALUE!</v>
      </c>
      <c r="H20" s="7"/>
      <c r="I20" s="17">
        <v>15</v>
      </c>
      <c r="J20" s="19">
        <v>2018130156</v>
      </c>
      <c r="K20" s="19" t="s">
        <v>169</v>
      </c>
      <c r="L20" s="115" t="s">
        <v>157</v>
      </c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107"/>
      <c r="AH20" s="7"/>
      <c r="AI20" s="7"/>
      <c r="AJ20" s="17">
        <v>13</v>
      </c>
      <c r="AK20" s="19">
        <v>2018130154</v>
      </c>
      <c r="AL20" s="19" t="s">
        <v>167</v>
      </c>
      <c r="AM20" s="45"/>
      <c r="AN20" s="45"/>
      <c r="AO20" s="45"/>
      <c r="AP20" s="45"/>
      <c r="AQ20" s="45"/>
      <c r="AR20" s="45"/>
      <c r="AS20" s="107"/>
    </row>
    <row r="21" ht="20.1" customHeight="1" spans="1:45">
      <c r="A21" s="17">
        <v>18</v>
      </c>
      <c r="B21" s="19">
        <v>2018130159</v>
      </c>
      <c r="C21" s="19" t="s">
        <v>172</v>
      </c>
      <c r="D21" s="96"/>
      <c r="E21" s="99"/>
      <c r="F21" s="98"/>
      <c r="G21" s="21" t="e">
        <f t="shared" si="0"/>
        <v>#VALUE!</v>
      </c>
      <c r="H21" s="7"/>
      <c r="I21" s="17">
        <v>16</v>
      </c>
      <c r="J21" s="19">
        <v>2018130157</v>
      </c>
      <c r="K21" s="19" t="s">
        <v>170</v>
      </c>
      <c r="L21" s="115" t="s">
        <v>157</v>
      </c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107"/>
      <c r="AH21" s="7"/>
      <c r="AI21" s="7"/>
      <c r="AJ21" s="17">
        <v>14</v>
      </c>
      <c r="AK21" s="19">
        <v>2018130155</v>
      </c>
      <c r="AL21" s="19" t="s">
        <v>168</v>
      </c>
      <c r="AM21" s="45"/>
      <c r="AN21" s="45"/>
      <c r="AO21" s="45"/>
      <c r="AP21" s="45"/>
      <c r="AQ21" s="45"/>
      <c r="AR21" s="45"/>
      <c r="AS21" s="107"/>
    </row>
    <row r="22" ht="20.1" customHeight="1" spans="1:45">
      <c r="A22" s="17">
        <v>19</v>
      </c>
      <c r="B22" s="19">
        <v>2018130160</v>
      </c>
      <c r="C22" s="19" t="s">
        <v>173</v>
      </c>
      <c r="D22" s="96"/>
      <c r="E22" s="99"/>
      <c r="F22" s="98"/>
      <c r="G22" s="21" t="e">
        <f t="shared" si="0"/>
        <v>#VALUE!</v>
      </c>
      <c r="H22" s="7"/>
      <c r="I22" s="17">
        <v>17</v>
      </c>
      <c r="J22" s="19">
        <v>2018130158</v>
      </c>
      <c r="K22" s="19" t="s">
        <v>171</v>
      </c>
      <c r="L22" s="115" t="s">
        <v>157</v>
      </c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107"/>
      <c r="AH22" s="7"/>
      <c r="AI22" s="7"/>
      <c r="AJ22" s="17">
        <v>15</v>
      </c>
      <c r="AK22" s="19">
        <v>2018130156</v>
      </c>
      <c r="AL22" s="19" t="s">
        <v>169</v>
      </c>
      <c r="AM22" s="45"/>
      <c r="AN22" s="45"/>
      <c r="AO22" s="45"/>
      <c r="AP22" s="45"/>
      <c r="AQ22" s="45"/>
      <c r="AR22" s="45"/>
      <c r="AS22" s="107"/>
    </row>
    <row r="23" ht="20.1" customHeight="1" spans="1:45">
      <c r="A23" s="17">
        <v>20</v>
      </c>
      <c r="B23" s="19">
        <v>2018130161</v>
      </c>
      <c r="C23" s="19" t="s">
        <v>174</v>
      </c>
      <c r="D23" s="96"/>
      <c r="E23" s="99"/>
      <c r="F23" s="98"/>
      <c r="G23" s="21" t="e">
        <f t="shared" si="0"/>
        <v>#VALUE!</v>
      </c>
      <c r="H23" s="7"/>
      <c r="I23" s="17">
        <v>18</v>
      </c>
      <c r="J23" s="19">
        <v>2018130159</v>
      </c>
      <c r="K23" s="19" t="s">
        <v>172</v>
      </c>
      <c r="L23" s="115" t="s">
        <v>157</v>
      </c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107"/>
      <c r="AH23" s="7"/>
      <c r="AI23" s="7"/>
      <c r="AJ23" s="17">
        <v>16</v>
      </c>
      <c r="AK23" s="19">
        <v>2018130157</v>
      </c>
      <c r="AL23" s="19" t="s">
        <v>170</v>
      </c>
      <c r="AM23" s="45"/>
      <c r="AN23" s="45"/>
      <c r="AO23" s="45"/>
      <c r="AP23" s="45"/>
      <c r="AQ23" s="45"/>
      <c r="AR23" s="45"/>
      <c r="AS23" s="107"/>
    </row>
    <row r="24" ht="20.1" customHeight="1" spans="1:45">
      <c r="A24" s="17">
        <v>21</v>
      </c>
      <c r="B24" s="19">
        <v>2018130162</v>
      </c>
      <c r="C24" s="19" t="s">
        <v>175</v>
      </c>
      <c r="D24" s="96"/>
      <c r="E24" s="99"/>
      <c r="F24" s="98"/>
      <c r="G24" s="21" t="e">
        <f t="shared" si="0"/>
        <v>#VALUE!</v>
      </c>
      <c r="H24" s="7"/>
      <c r="I24" s="17">
        <v>19</v>
      </c>
      <c r="J24" s="19">
        <v>2018130160</v>
      </c>
      <c r="K24" s="19" t="s">
        <v>173</v>
      </c>
      <c r="L24" s="115" t="s">
        <v>157</v>
      </c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107"/>
      <c r="AH24" s="7"/>
      <c r="AI24" s="7"/>
      <c r="AJ24" s="17">
        <v>17</v>
      </c>
      <c r="AK24" s="19">
        <v>2018130158</v>
      </c>
      <c r="AL24" s="19" t="s">
        <v>171</v>
      </c>
      <c r="AM24" s="45"/>
      <c r="AN24" s="45"/>
      <c r="AO24" s="45"/>
      <c r="AP24" s="45"/>
      <c r="AQ24" s="45"/>
      <c r="AR24" s="45"/>
      <c r="AS24" s="107"/>
    </row>
    <row r="25" ht="20.1" customHeight="1" spans="1:45">
      <c r="A25" s="17">
        <v>22</v>
      </c>
      <c r="B25" s="19">
        <v>2018130163</v>
      </c>
      <c r="C25" s="19" t="s">
        <v>176</v>
      </c>
      <c r="D25" s="96"/>
      <c r="E25" s="99"/>
      <c r="F25" s="98"/>
      <c r="G25" s="21" t="e">
        <f t="shared" si="0"/>
        <v>#VALUE!</v>
      </c>
      <c r="H25" s="7"/>
      <c r="I25" s="17">
        <v>20</v>
      </c>
      <c r="J25" s="19">
        <v>2018130161</v>
      </c>
      <c r="K25" s="19" t="s">
        <v>174</v>
      </c>
      <c r="L25" s="115" t="s">
        <v>157</v>
      </c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107"/>
      <c r="AH25" s="7"/>
      <c r="AI25" s="7"/>
      <c r="AJ25" s="17">
        <v>18</v>
      </c>
      <c r="AK25" s="19">
        <v>2018130159</v>
      </c>
      <c r="AL25" s="19" t="s">
        <v>172</v>
      </c>
      <c r="AM25" s="45"/>
      <c r="AN25" s="45"/>
      <c r="AO25" s="45"/>
      <c r="AP25" s="45"/>
      <c r="AQ25" s="45"/>
      <c r="AR25" s="45"/>
      <c r="AS25" s="107"/>
    </row>
    <row r="26" ht="20.1" customHeight="1" spans="1:45">
      <c r="A26" s="17">
        <v>23</v>
      </c>
      <c r="B26" s="19">
        <v>2018130164</v>
      </c>
      <c r="C26" s="19" t="s">
        <v>177</v>
      </c>
      <c r="D26" s="96"/>
      <c r="E26" s="99"/>
      <c r="F26" s="98"/>
      <c r="G26" s="21" t="e">
        <f t="shared" si="0"/>
        <v>#VALUE!</v>
      </c>
      <c r="H26" s="7"/>
      <c r="I26" s="17">
        <v>21</v>
      </c>
      <c r="J26" s="19">
        <v>2018130162</v>
      </c>
      <c r="K26" s="19" t="s">
        <v>175</v>
      </c>
      <c r="L26" s="115" t="s">
        <v>157</v>
      </c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107"/>
      <c r="AH26" s="7"/>
      <c r="AI26" s="7"/>
      <c r="AJ26" s="17">
        <v>19</v>
      </c>
      <c r="AK26" s="19">
        <v>2018130160</v>
      </c>
      <c r="AL26" s="19" t="s">
        <v>173</v>
      </c>
      <c r="AM26" s="45"/>
      <c r="AN26" s="45"/>
      <c r="AO26" s="45"/>
      <c r="AP26" s="45"/>
      <c r="AQ26" s="45"/>
      <c r="AR26" s="45"/>
      <c r="AS26" s="107"/>
    </row>
    <row r="27" ht="20.1" customHeight="1" spans="1:45">
      <c r="A27" s="17">
        <v>24</v>
      </c>
      <c r="B27" s="19">
        <v>2018130165</v>
      </c>
      <c r="C27" s="19" t="s">
        <v>178</v>
      </c>
      <c r="D27" s="96"/>
      <c r="E27" s="99"/>
      <c r="F27" s="98"/>
      <c r="G27" s="21" t="e">
        <f t="shared" si="0"/>
        <v>#VALUE!</v>
      </c>
      <c r="H27" s="7"/>
      <c r="I27" s="17">
        <v>22</v>
      </c>
      <c r="J27" s="19">
        <v>2018130163</v>
      </c>
      <c r="K27" s="19" t="s">
        <v>176</v>
      </c>
      <c r="L27" s="115" t="s">
        <v>157</v>
      </c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107"/>
      <c r="AH27" s="7"/>
      <c r="AI27" s="7"/>
      <c r="AJ27" s="17">
        <v>20</v>
      </c>
      <c r="AK27" s="19">
        <v>2018130161</v>
      </c>
      <c r="AL27" s="19" t="s">
        <v>174</v>
      </c>
      <c r="AM27" s="45"/>
      <c r="AN27" s="45"/>
      <c r="AO27" s="45"/>
      <c r="AP27" s="45"/>
      <c r="AQ27" s="45"/>
      <c r="AR27" s="45"/>
      <c r="AS27" s="107"/>
    </row>
    <row r="28" ht="20.1" customHeight="1" spans="1:45">
      <c r="A28" s="17">
        <v>25</v>
      </c>
      <c r="B28" s="19">
        <v>2018130166</v>
      </c>
      <c r="C28" s="19" t="s">
        <v>179</v>
      </c>
      <c r="D28" s="96"/>
      <c r="E28" s="99"/>
      <c r="F28" s="98"/>
      <c r="G28" s="21" t="e">
        <f t="shared" si="0"/>
        <v>#VALUE!</v>
      </c>
      <c r="H28" s="7"/>
      <c r="I28" s="17">
        <v>23</v>
      </c>
      <c r="J28" s="19">
        <v>2018130164</v>
      </c>
      <c r="K28" s="19" t="s">
        <v>177</v>
      </c>
      <c r="L28" s="115" t="s">
        <v>157</v>
      </c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107"/>
      <c r="AH28" s="7"/>
      <c r="AI28" s="7"/>
      <c r="AJ28" s="17">
        <v>21</v>
      </c>
      <c r="AK28" s="19">
        <v>2018130162</v>
      </c>
      <c r="AL28" s="19" t="s">
        <v>175</v>
      </c>
      <c r="AM28" s="45"/>
      <c r="AN28" s="45"/>
      <c r="AO28" s="45"/>
      <c r="AP28" s="45"/>
      <c r="AQ28" s="45"/>
      <c r="AR28" s="45"/>
      <c r="AS28" s="107"/>
    </row>
    <row r="29" ht="20.1" customHeight="1" spans="1:45">
      <c r="A29" s="17">
        <v>26</v>
      </c>
      <c r="B29" s="19">
        <v>2018130167</v>
      </c>
      <c r="C29" s="19" t="s">
        <v>180</v>
      </c>
      <c r="D29" s="96"/>
      <c r="E29" s="99"/>
      <c r="F29" s="98"/>
      <c r="G29" s="21" t="e">
        <f t="shared" si="0"/>
        <v>#VALUE!</v>
      </c>
      <c r="H29" s="7"/>
      <c r="I29" s="17">
        <v>24</v>
      </c>
      <c r="J29" s="19">
        <v>2018130165</v>
      </c>
      <c r="K29" s="19" t="s">
        <v>178</v>
      </c>
      <c r="L29" s="115" t="s">
        <v>157</v>
      </c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107"/>
      <c r="AH29" s="7"/>
      <c r="AI29" s="7"/>
      <c r="AJ29" s="17">
        <v>22</v>
      </c>
      <c r="AK29" s="19">
        <v>2018130163</v>
      </c>
      <c r="AL29" s="19" t="s">
        <v>176</v>
      </c>
      <c r="AM29" s="45"/>
      <c r="AN29" s="45"/>
      <c r="AO29" s="45"/>
      <c r="AP29" s="45"/>
      <c r="AQ29" s="45"/>
      <c r="AR29" s="45"/>
      <c r="AS29" s="107"/>
    </row>
    <row r="30" ht="20.1" customHeight="1" spans="1:45">
      <c r="A30" s="17">
        <v>27</v>
      </c>
      <c r="B30" s="19">
        <v>2018130168</v>
      </c>
      <c r="C30" s="19" t="s">
        <v>181</v>
      </c>
      <c r="D30" s="96"/>
      <c r="E30" s="99"/>
      <c r="F30" s="98"/>
      <c r="G30" s="21" t="e">
        <f t="shared" si="0"/>
        <v>#VALUE!</v>
      </c>
      <c r="H30" s="7"/>
      <c r="I30" s="17">
        <v>25</v>
      </c>
      <c r="J30" s="19">
        <v>2018130166</v>
      </c>
      <c r="K30" s="19" t="s">
        <v>179</v>
      </c>
      <c r="L30" s="115" t="s">
        <v>157</v>
      </c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107"/>
      <c r="AH30" s="7"/>
      <c r="AI30" s="7"/>
      <c r="AJ30" s="17">
        <v>23</v>
      </c>
      <c r="AK30" s="19">
        <v>2018130164</v>
      </c>
      <c r="AL30" s="19" t="s">
        <v>177</v>
      </c>
      <c r="AM30" s="45"/>
      <c r="AN30" s="45"/>
      <c r="AO30" s="45"/>
      <c r="AP30" s="45"/>
      <c r="AQ30" s="45"/>
      <c r="AR30" s="45"/>
      <c r="AS30" s="107"/>
    </row>
    <row r="31" ht="20.1" customHeight="1" spans="1:45">
      <c r="A31" s="17">
        <v>28</v>
      </c>
      <c r="B31" s="19">
        <v>2018130169</v>
      </c>
      <c r="C31" s="19" t="s">
        <v>182</v>
      </c>
      <c r="D31" s="96"/>
      <c r="E31" s="99"/>
      <c r="F31" s="98"/>
      <c r="G31" s="21" t="e">
        <f t="shared" si="0"/>
        <v>#VALUE!</v>
      </c>
      <c r="H31" s="7"/>
      <c r="I31" s="17">
        <v>26</v>
      </c>
      <c r="J31" s="19">
        <v>2018130167</v>
      </c>
      <c r="K31" s="19" t="s">
        <v>180</v>
      </c>
      <c r="L31" s="115" t="s">
        <v>157</v>
      </c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107"/>
      <c r="AH31" s="7"/>
      <c r="AI31" s="7"/>
      <c r="AJ31" s="17">
        <v>24</v>
      </c>
      <c r="AK31" s="19">
        <v>2018130165</v>
      </c>
      <c r="AL31" s="19" t="s">
        <v>178</v>
      </c>
      <c r="AM31" s="45"/>
      <c r="AN31" s="45"/>
      <c r="AO31" s="45"/>
      <c r="AP31" s="45"/>
      <c r="AQ31" s="45"/>
      <c r="AR31" s="45"/>
      <c r="AS31" s="107"/>
    </row>
    <row r="32" ht="20.1" customHeight="1" spans="1:45">
      <c r="A32" s="17">
        <v>29</v>
      </c>
      <c r="B32" s="19">
        <v>2018130170</v>
      </c>
      <c r="C32" s="19" t="s">
        <v>183</v>
      </c>
      <c r="D32" s="96"/>
      <c r="E32" s="99"/>
      <c r="F32" s="98"/>
      <c r="G32" s="21" t="e">
        <f t="shared" si="0"/>
        <v>#VALUE!</v>
      </c>
      <c r="H32" s="7"/>
      <c r="I32" s="17">
        <v>27</v>
      </c>
      <c r="J32" s="19">
        <v>2018130168</v>
      </c>
      <c r="K32" s="19" t="s">
        <v>181</v>
      </c>
      <c r="L32" s="115" t="s">
        <v>157</v>
      </c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107"/>
      <c r="AH32" s="7"/>
      <c r="AI32" s="7"/>
      <c r="AJ32" s="17">
        <v>25</v>
      </c>
      <c r="AK32" s="19">
        <v>2018130166</v>
      </c>
      <c r="AL32" s="19" t="s">
        <v>179</v>
      </c>
      <c r="AM32" s="45"/>
      <c r="AN32" s="45"/>
      <c r="AO32" s="45"/>
      <c r="AP32" s="45"/>
      <c r="AQ32" s="45"/>
      <c r="AR32" s="45"/>
      <c r="AS32" s="107"/>
    </row>
    <row r="33" ht="20.1" customHeight="1" spans="1:45">
      <c r="A33" s="17">
        <v>30</v>
      </c>
      <c r="B33" s="19">
        <v>2018130171</v>
      </c>
      <c r="C33" s="19" t="s">
        <v>184</v>
      </c>
      <c r="D33" s="96"/>
      <c r="E33" s="99"/>
      <c r="F33" s="98"/>
      <c r="G33" s="21" t="e">
        <f t="shared" si="0"/>
        <v>#VALUE!</v>
      </c>
      <c r="H33" s="7"/>
      <c r="I33" s="17">
        <v>28</v>
      </c>
      <c r="J33" s="19">
        <v>2018130169</v>
      </c>
      <c r="K33" s="19" t="s">
        <v>182</v>
      </c>
      <c r="L33" s="115" t="s">
        <v>157</v>
      </c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107"/>
      <c r="AH33" s="7"/>
      <c r="AI33" s="7"/>
      <c r="AJ33" s="17">
        <v>26</v>
      </c>
      <c r="AK33" s="19">
        <v>2018130167</v>
      </c>
      <c r="AL33" s="19" t="s">
        <v>180</v>
      </c>
      <c r="AM33" s="45"/>
      <c r="AN33" s="45"/>
      <c r="AO33" s="45"/>
      <c r="AP33" s="45"/>
      <c r="AQ33" s="45"/>
      <c r="AR33" s="45"/>
      <c r="AS33" s="107"/>
    </row>
    <row r="34" ht="20.1" customHeight="1" spans="1:45">
      <c r="A34" s="17">
        <v>31</v>
      </c>
      <c r="B34" s="19">
        <v>2018130172</v>
      </c>
      <c r="C34" s="19" t="s">
        <v>185</v>
      </c>
      <c r="D34" s="96"/>
      <c r="E34" s="99"/>
      <c r="F34" s="98"/>
      <c r="G34" s="21" t="e">
        <f t="shared" si="0"/>
        <v>#VALUE!</v>
      </c>
      <c r="H34" s="7"/>
      <c r="I34" s="17">
        <v>29</v>
      </c>
      <c r="J34" s="19">
        <v>2018130170</v>
      </c>
      <c r="K34" s="19" t="s">
        <v>183</v>
      </c>
      <c r="L34" s="115" t="s">
        <v>157</v>
      </c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107"/>
      <c r="AH34" s="7"/>
      <c r="AI34" s="7"/>
      <c r="AJ34" s="17">
        <v>27</v>
      </c>
      <c r="AK34" s="19">
        <v>2018130168</v>
      </c>
      <c r="AL34" s="19" t="s">
        <v>181</v>
      </c>
      <c r="AM34" s="45"/>
      <c r="AN34" s="45"/>
      <c r="AO34" s="45"/>
      <c r="AP34" s="45"/>
      <c r="AQ34" s="45"/>
      <c r="AR34" s="45"/>
      <c r="AS34" s="107"/>
    </row>
    <row r="35" ht="20.1" customHeight="1" spans="1:45">
      <c r="A35" s="17">
        <v>32</v>
      </c>
      <c r="B35" s="19">
        <v>2018130173</v>
      </c>
      <c r="C35" s="19" t="s">
        <v>186</v>
      </c>
      <c r="D35" s="96"/>
      <c r="E35" s="99"/>
      <c r="F35" s="98"/>
      <c r="G35" s="21" t="e">
        <f t="shared" si="0"/>
        <v>#VALUE!</v>
      </c>
      <c r="H35" s="7"/>
      <c r="I35" s="17">
        <v>30</v>
      </c>
      <c r="J35" s="19">
        <v>2018130171</v>
      </c>
      <c r="K35" s="19" t="s">
        <v>184</v>
      </c>
      <c r="L35" s="115" t="s">
        <v>157</v>
      </c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107"/>
      <c r="AH35" s="7"/>
      <c r="AI35" s="7"/>
      <c r="AJ35" s="17">
        <v>28</v>
      </c>
      <c r="AK35" s="19">
        <v>2018130169</v>
      </c>
      <c r="AL35" s="19" t="s">
        <v>182</v>
      </c>
      <c r="AM35" s="45"/>
      <c r="AN35" s="45"/>
      <c r="AO35" s="45"/>
      <c r="AP35" s="45"/>
      <c r="AQ35" s="45"/>
      <c r="AR35" s="45"/>
      <c r="AS35" s="107"/>
    </row>
    <row r="36" ht="20.1" customHeight="1" spans="1:45">
      <c r="A36" s="17">
        <v>33</v>
      </c>
      <c r="B36" s="19">
        <v>2018130174</v>
      </c>
      <c r="C36" s="19" t="s">
        <v>187</v>
      </c>
      <c r="D36" s="96"/>
      <c r="E36" s="99"/>
      <c r="F36" s="98"/>
      <c r="G36" s="21" t="e">
        <f t="shared" si="0"/>
        <v>#VALUE!</v>
      </c>
      <c r="H36" s="7"/>
      <c r="I36" s="17">
        <v>31</v>
      </c>
      <c r="J36" s="19">
        <v>2018130172</v>
      </c>
      <c r="K36" s="19" t="s">
        <v>185</v>
      </c>
      <c r="L36" s="115" t="s">
        <v>157</v>
      </c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107"/>
      <c r="AH36" s="7"/>
      <c r="AI36" s="7"/>
      <c r="AJ36" s="17">
        <v>29</v>
      </c>
      <c r="AK36" s="19">
        <v>2018130170</v>
      </c>
      <c r="AL36" s="19" t="s">
        <v>183</v>
      </c>
      <c r="AM36" s="45"/>
      <c r="AN36" s="45"/>
      <c r="AO36" s="45"/>
      <c r="AP36" s="45"/>
      <c r="AQ36" s="45"/>
      <c r="AR36" s="45"/>
      <c r="AS36" s="107"/>
    </row>
    <row r="37" ht="20.1" customHeight="1" spans="1:45">
      <c r="A37" s="17">
        <v>34</v>
      </c>
      <c r="B37" s="19">
        <v>2018130175</v>
      </c>
      <c r="C37" s="19" t="s">
        <v>188</v>
      </c>
      <c r="D37" s="96"/>
      <c r="E37" s="99"/>
      <c r="F37" s="98"/>
      <c r="G37" s="21" t="e">
        <f t="shared" si="0"/>
        <v>#VALUE!</v>
      </c>
      <c r="H37" s="7"/>
      <c r="I37" s="17">
        <v>32</v>
      </c>
      <c r="J37" s="19">
        <v>2018130173</v>
      </c>
      <c r="K37" s="19" t="s">
        <v>186</v>
      </c>
      <c r="L37" s="115" t="s">
        <v>157</v>
      </c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107"/>
      <c r="AH37" s="7"/>
      <c r="AI37" s="7"/>
      <c r="AJ37" s="17">
        <v>30</v>
      </c>
      <c r="AK37" s="19">
        <v>2018130171</v>
      </c>
      <c r="AL37" s="19" t="s">
        <v>184</v>
      </c>
      <c r="AM37" s="45"/>
      <c r="AN37" s="45"/>
      <c r="AO37" s="45"/>
      <c r="AP37" s="45"/>
      <c r="AQ37" s="45"/>
      <c r="AR37" s="45"/>
      <c r="AS37" s="107"/>
    </row>
    <row r="38" ht="20.1" customHeight="1" spans="1:45">
      <c r="A38" s="17">
        <v>35</v>
      </c>
      <c r="B38" s="19">
        <v>2018130176</v>
      </c>
      <c r="C38" s="19" t="s">
        <v>189</v>
      </c>
      <c r="D38" s="96"/>
      <c r="E38" s="99"/>
      <c r="F38" s="98"/>
      <c r="G38" s="21" t="e">
        <f t="shared" si="0"/>
        <v>#VALUE!</v>
      </c>
      <c r="H38" s="7"/>
      <c r="I38" s="17">
        <v>33</v>
      </c>
      <c r="J38" s="19">
        <v>2018130174</v>
      </c>
      <c r="K38" s="19" t="s">
        <v>187</v>
      </c>
      <c r="L38" s="115" t="s">
        <v>157</v>
      </c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107"/>
      <c r="AH38" s="7"/>
      <c r="AI38" s="7"/>
      <c r="AJ38" s="17">
        <v>31</v>
      </c>
      <c r="AK38" s="19">
        <v>2018130172</v>
      </c>
      <c r="AL38" s="19" t="s">
        <v>185</v>
      </c>
      <c r="AM38" s="45"/>
      <c r="AN38" s="45"/>
      <c r="AO38" s="45"/>
      <c r="AP38" s="45"/>
      <c r="AQ38" s="45"/>
      <c r="AR38" s="45"/>
      <c r="AS38" s="107"/>
    </row>
    <row r="39" ht="20.1" customHeight="1" spans="1:45">
      <c r="A39" s="17">
        <v>36</v>
      </c>
      <c r="B39" s="19">
        <v>2018130177</v>
      </c>
      <c r="C39" s="19" t="s">
        <v>190</v>
      </c>
      <c r="D39" s="96"/>
      <c r="E39" s="99"/>
      <c r="F39" s="98"/>
      <c r="G39" s="21" t="e">
        <f t="shared" si="0"/>
        <v>#VALUE!</v>
      </c>
      <c r="H39" s="7"/>
      <c r="I39" s="17">
        <v>34</v>
      </c>
      <c r="J39" s="19">
        <v>2018130175</v>
      </c>
      <c r="K39" s="19" t="s">
        <v>188</v>
      </c>
      <c r="L39" s="115" t="s">
        <v>157</v>
      </c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107"/>
      <c r="AH39" s="7"/>
      <c r="AI39" s="7"/>
      <c r="AJ39" s="17">
        <v>32</v>
      </c>
      <c r="AK39" s="19">
        <v>2018130173</v>
      </c>
      <c r="AL39" s="19" t="s">
        <v>186</v>
      </c>
      <c r="AM39" s="45"/>
      <c r="AN39" s="45"/>
      <c r="AO39" s="45"/>
      <c r="AP39" s="45"/>
      <c r="AQ39" s="45"/>
      <c r="AR39" s="45"/>
      <c r="AS39" s="107"/>
    </row>
    <row r="40" ht="20.1" customHeight="1" spans="1:45">
      <c r="A40" s="17">
        <v>37</v>
      </c>
      <c r="B40" s="19">
        <v>2018130178</v>
      </c>
      <c r="C40" s="19" t="s">
        <v>191</v>
      </c>
      <c r="D40" s="96"/>
      <c r="E40" s="99"/>
      <c r="F40" s="98"/>
      <c r="G40" s="21" t="e">
        <f t="shared" si="0"/>
        <v>#VALUE!</v>
      </c>
      <c r="H40" s="7"/>
      <c r="I40" s="17">
        <v>35</v>
      </c>
      <c r="J40" s="19">
        <v>2018130176</v>
      </c>
      <c r="K40" s="19" t="s">
        <v>189</v>
      </c>
      <c r="L40" s="115" t="s">
        <v>157</v>
      </c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107"/>
      <c r="AH40" s="7"/>
      <c r="AI40" s="7"/>
      <c r="AJ40" s="17">
        <v>33</v>
      </c>
      <c r="AK40" s="19">
        <v>2018130174</v>
      </c>
      <c r="AL40" s="19" t="s">
        <v>187</v>
      </c>
      <c r="AM40" s="45"/>
      <c r="AN40" s="45"/>
      <c r="AO40" s="45"/>
      <c r="AP40" s="45"/>
      <c r="AQ40" s="45"/>
      <c r="AR40" s="45"/>
      <c r="AS40" s="107"/>
    </row>
    <row r="41" ht="20.1" customHeight="1" spans="1:45">
      <c r="A41" s="17">
        <v>38</v>
      </c>
      <c r="B41" s="19">
        <v>2018130179</v>
      </c>
      <c r="C41" s="19" t="s">
        <v>192</v>
      </c>
      <c r="D41" s="96"/>
      <c r="E41" s="99"/>
      <c r="F41" s="98"/>
      <c r="G41" s="21" t="e">
        <f t="shared" si="0"/>
        <v>#VALUE!</v>
      </c>
      <c r="H41" s="7"/>
      <c r="I41" s="17">
        <v>36</v>
      </c>
      <c r="J41" s="19">
        <v>2018130177</v>
      </c>
      <c r="K41" s="19" t="s">
        <v>190</v>
      </c>
      <c r="L41" s="115" t="s">
        <v>157</v>
      </c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107"/>
      <c r="AH41" s="7"/>
      <c r="AI41" s="7"/>
      <c r="AJ41" s="17">
        <v>34</v>
      </c>
      <c r="AK41" s="19">
        <v>2018130175</v>
      </c>
      <c r="AL41" s="19" t="s">
        <v>188</v>
      </c>
      <c r="AM41" s="45"/>
      <c r="AN41" s="45"/>
      <c r="AO41" s="45"/>
      <c r="AP41" s="45"/>
      <c r="AQ41" s="45"/>
      <c r="AR41" s="45"/>
      <c r="AS41" s="107"/>
    </row>
    <row r="42" ht="20.1" customHeight="1" spans="1:45">
      <c r="A42" s="17">
        <v>39</v>
      </c>
      <c r="B42" s="19">
        <v>2018130180</v>
      </c>
      <c r="C42" s="19" t="s">
        <v>193</v>
      </c>
      <c r="D42" s="96"/>
      <c r="E42" s="99"/>
      <c r="F42" s="98"/>
      <c r="G42" s="21" t="e">
        <f t="shared" si="0"/>
        <v>#VALUE!</v>
      </c>
      <c r="H42" s="7"/>
      <c r="I42" s="17">
        <v>37</v>
      </c>
      <c r="J42" s="19">
        <v>2018130178</v>
      </c>
      <c r="K42" s="19" t="s">
        <v>191</v>
      </c>
      <c r="L42" s="115" t="s">
        <v>157</v>
      </c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107"/>
      <c r="AH42" s="7"/>
      <c r="AI42" s="7"/>
      <c r="AJ42" s="17">
        <v>35</v>
      </c>
      <c r="AK42" s="19">
        <v>2018130176</v>
      </c>
      <c r="AL42" s="19" t="s">
        <v>189</v>
      </c>
      <c r="AM42" s="45"/>
      <c r="AN42" s="45"/>
      <c r="AO42" s="45"/>
      <c r="AP42" s="45"/>
      <c r="AQ42" s="45"/>
      <c r="AR42" s="45"/>
      <c r="AS42" s="107"/>
    </row>
    <row r="43" ht="20.1" customHeight="1" spans="1:45">
      <c r="A43" s="17">
        <v>40</v>
      </c>
      <c r="B43" s="19">
        <v>2018130181</v>
      </c>
      <c r="C43" s="19" t="s">
        <v>194</v>
      </c>
      <c r="D43" s="96"/>
      <c r="E43" s="99"/>
      <c r="F43" s="98"/>
      <c r="G43" s="21" t="e">
        <f t="shared" si="0"/>
        <v>#VALUE!</v>
      </c>
      <c r="H43" s="7"/>
      <c r="I43" s="17">
        <v>38</v>
      </c>
      <c r="J43" s="19">
        <v>2018130179</v>
      </c>
      <c r="K43" s="19" t="s">
        <v>192</v>
      </c>
      <c r="L43" s="115" t="s">
        <v>157</v>
      </c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107"/>
      <c r="AH43" s="7"/>
      <c r="AI43" s="7"/>
      <c r="AJ43" s="17">
        <v>36</v>
      </c>
      <c r="AK43" s="19">
        <v>2018130177</v>
      </c>
      <c r="AL43" s="19" t="s">
        <v>190</v>
      </c>
      <c r="AM43" s="45"/>
      <c r="AN43" s="45"/>
      <c r="AO43" s="45"/>
      <c r="AP43" s="45"/>
      <c r="AQ43" s="45"/>
      <c r="AR43" s="45"/>
      <c r="AS43" s="107"/>
    </row>
    <row r="44" ht="20.1" customHeight="1" spans="1:45">
      <c r="A44" s="17">
        <v>41</v>
      </c>
      <c r="B44" s="19">
        <v>2018130182</v>
      </c>
      <c r="C44" s="19" t="s">
        <v>195</v>
      </c>
      <c r="D44" s="96"/>
      <c r="E44" s="99"/>
      <c r="F44" s="98"/>
      <c r="G44" s="21" t="e">
        <f t="shared" si="0"/>
        <v>#VALUE!</v>
      </c>
      <c r="H44" s="7"/>
      <c r="I44" s="17">
        <v>39</v>
      </c>
      <c r="J44" s="19">
        <v>2018130180</v>
      </c>
      <c r="K44" s="19" t="s">
        <v>193</v>
      </c>
      <c r="L44" s="115" t="s">
        <v>157</v>
      </c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107"/>
      <c r="AH44" s="7"/>
      <c r="AI44" s="7"/>
      <c r="AJ44" s="17">
        <v>37</v>
      </c>
      <c r="AK44" s="19">
        <v>2018130178</v>
      </c>
      <c r="AL44" s="19" t="s">
        <v>191</v>
      </c>
      <c r="AM44" s="45"/>
      <c r="AN44" s="45"/>
      <c r="AO44" s="45"/>
      <c r="AP44" s="45"/>
      <c r="AQ44" s="45"/>
      <c r="AR44" s="45"/>
      <c r="AS44" s="107"/>
    </row>
    <row r="45" ht="20.1" customHeight="1" spans="1:45">
      <c r="A45" s="47">
        <v>42</v>
      </c>
      <c r="B45" s="109">
        <v>2018130183</v>
      </c>
      <c r="C45" s="109" t="s">
        <v>196</v>
      </c>
      <c r="D45" s="112"/>
      <c r="E45" s="113"/>
      <c r="F45" s="114"/>
      <c r="G45" s="27" t="e">
        <f t="shared" si="0"/>
        <v>#VALUE!</v>
      </c>
      <c r="H45" s="7"/>
      <c r="I45" s="17">
        <v>40</v>
      </c>
      <c r="J45" s="19">
        <v>2018130181</v>
      </c>
      <c r="K45" s="19" t="s">
        <v>194</v>
      </c>
      <c r="L45" s="115" t="s">
        <v>157</v>
      </c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57"/>
      <c r="AE45" s="45"/>
      <c r="AF45" s="45"/>
      <c r="AG45" s="107"/>
      <c r="AH45" s="7"/>
      <c r="AI45" s="7"/>
      <c r="AJ45" s="17">
        <v>38</v>
      </c>
      <c r="AK45" s="19">
        <v>2018130179</v>
      </c>
      <c r="AL45" s="19" t="s">
        <v>192</v>
      </c>
      <c r="AM45" s="45"/>
      <c r="AN45" s="45"/>
      <c r="AO45" s="45"/>
      <c r="AP45" s="45"/>
      <c r="AQ45" s="45"/>
      <c r="AR45" s="45"/>
      <c r="AS45" s="107"/>
    </row>
    <row r="46" ht="20.1" customHeight="1" spans="1:45">
      <c r="A46" s="28"/>
      <c r="B46" s="78"/>
      <c r="C46" s="100"/>
      <c r="D46" s="29"/>
      <c r="E46" s="29"/>
      <c r="F46" s="29"/>
      <c r="G46" s="29"/>
      <c r="H46" s="7"/>
      <c r="I46" s="17">
        <v>41</v>
      </c>
      <c r="J46" s="19">
        <v>2018130182</v>
      </c>
      <c r="K46" s="19" t="s">
        <v>195</v>
      </c>
      <c r="L46" s="115" t="s">
        <v>157</v>
      </c>
      <c r="M46" s="45"/>
      <c r="N46" s="45"/>
      <c r="O46" s="45"/>
      <c r="P46" s="45"/>
      <c r="Q46" s="45"/>
      <c r="R46" s="45"/>
      <c r="S46" s="45"/>
      <c r="T46" s="45"/>
      <c r="U46" s="57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107"/>
      <c r="AH46" s="7"/>
      <c r="AI46" s="7"/>
      <c r="AJ46" s="17">
        <v>39</v>
      </c>
      <c r="AK46" s="19">
        <v>2018130180</v>
      </c>
      <c r="AL46" s="19" t="s">
        <v>193</v>
      </c>
      <c r="AM46" s="45"/>
      <c r="AN46" s="45"/>
      <c r="AO46" s="45"/>
      <c r="AP46" s="45"/>
      <c r="AQ46" s="45"/>
      <c r="AR46" s="45"/>
      <c r="AS46" s="107"/>
    </row>
    <row r="47" ht="20.1" customHeight="1" spans="1:45">
      <c r="A47" s="31" t="s">
        <v>81</v>
      </c>
      <c r="B47" s="31"/>
      <c r="C47" s="31"/>
      <c r="D47" s="31"/>
      <c r="E47" s="31"/>
      <c r="F47" s="31"/>
      <c r="G47" s="31"/>
      <c r="H47" s="7"/>
      <c r="I47" s="47">
        <v>42</v>
      </c>
      <c r="J47" s="109">
        <v>2018130183</v>
      </c>
      <c r="K47" s="109" t="s">
        <v>196</v>
      </c>
      <c r="L47" s="116" t="s">
        <v>157</v>
      </c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111"/>
      <c r="AH47" s="7"/>
      <c r="AI47" s="7"/>
      <c r="AJ47" s="17">
        <v>40</v>
      </c>
      <c r="AK47" s="19">
        <v>2018130181</v>
      </c>
      <c r="AL47" s="19" t="s">
        <v>194</v>
      </c>
      <c r="AM47" s="45"/>
      <c r="AN47" s="45"/>
      <c r="AO47" s="45"/>
      <c r="AP47" s="45"/>
      <c r="AQ47" s="45"/>
      <c r="AR47" s="45"/>
      <c r="AS47" s="107"/>
    </row>
    <row r="48" ht="20.1" customHeight="1" spans="1:45">
      <c r="A48" s="32" t="s">
        <v>82</v>
      </c>
      <c r="B48" s="32"/>
      <c r="C48" s="32"/>
      <c r="D48" s="32"/>
      <c r="E48" s="32"/>
      <c r="F48" s="32"/>
      <c r="G48" s="32"/>
      <c r="H48" s="7"/>
      <c r="I48" s="77"/>
      <c r="J48" s="78"/>
      <c r="K48" s="100"/>
      <c r="L48" s="92"/>
      <c r="M48" s="92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  <c r="AF48" s="106"/>
      <c r="AG48" s="106"/>
      <c r="AH48" s="7"/>
      <c r="AI48" s="7"/>
      <c r="AJ48" s="17">
        <v>41</v>
      </c>
      <c r="AK48" s="19">
        <v>2018130182</v>
      </c>
      <c r="AL48" s="19" t="s">
        <v>195</v>
      </c>
      <c r="AM48" s="45"/>
      <c r="AN48" s="45"/>
      <c r="AO48" s="45"/>
      <c r="AP48" s="45"/>
      <c r="AQ48" s="45"/>
      <c r="AR48" s="45"/>
      <c r="AS48" s="107"/>
    </row>
    <row r="49" ht="27.75" customHeight="1" spans="1:45">
      <c r="A49" s="32" t="s">
        <v>83</v>
      </c>
      <c r="B49" s="32"/>
      <c r="C49" s="32"/>
      <c r="D49" s="32"/>
      <c r="E49" s="32"/>
      <c r="F49" s="32"/>
      <c r="G49" s="32"/>
      <c r="H49" s="7"/>
      <c r="I49" s="51" t="s">
        <v>84</v>
      </c>
      <c r="J49" s="51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47">
        <v>42</v>
      </c>
      <c r="AK49" s="109">
        <v>2018130183</v>
      </c>
      <c r="AL49" s="109" t="s">
        <v>196</v>
      </c>
      <c r="AM49" s="50"/>
      <c r="AN49" s="50"/>
      <c r="AO49" s="50"/>
      <c r="AP49" s="50"/>
      <c r="AQ49" s="50"/>
      <c r="AR49" s="50"/>
      <c r="AS49" s="111"/>
    </row>
    <row r="50" ht="20.1" customHeight="1" spans="1:45">
      <c r="A50" s="32" t="s">
        <v>85</v>
      </c>
      <c r="B50" s="32"/>
      <c r="C50" s="32"/>
      <c r="D50" s="32"/>
      <c r="E50" s="32"/>
      <c r="F50" s="32"/>
      <c r="G50" s="32"/>
      <c r="H50" s="7"/>
      <c r="I50" s="52" t="s">
        <v>86</v>
      </c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7"/>
      <c r="AI50" s="7"/>
      <c r="AJ50" s="77"/>
      <c r="AK50" s="78"/>
      <c r="AL50" s="100"/>
      <c r="AM50" s="92"/>
      <c r="AN50" s="92"/>
      <c r="AO50" s="92"/>
      <c r="AP50" s="92"/>
      <c r="AQ50" s="92"/>
      <c r="AR50" s="92"/>
      <c r="AS50" s="92"/>
    </row>
    <row r="51" ht="20.1" customHeight="1" spans="1:45">
      <c r="A51" s="101" t="s">
        <v>87</v>
      </c>
      <c r="B51" s="101"/>
      <c r="C51" s="101"/>
      <c r="D51" s="101"/>
      <c r="E51" s="101"/>
      <c r="F51" s="101"/>
      <c r="G51" s="101"/>
      <c r="H51" s="7"/>
      <c r="I51" s="52" t="s">
        <v>88</v>
      </c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7"/>
      <c r="AI51" s="7"/>
      <c r="AJ51" s="79" t="s">
        <v>89</v>
      </c>
      <c r="AK51" s="79"/>
      <c r="AL51" s="79"/>
      <c r="AM51" s="79"/>
      <c r="AN51" s="79"/>
      <c r="AO51" s="79"/>
      <c r="AP51" s="79"/>
      <c r="AQ51" s="79"/>
      <c r="AR51" s="79"/>
      <c r="AS51" s="79"/>
    </row>
    <row r="52" ht="28.5" customHeight="1" spans="1:45">
      <c r="A52" s="7"/>
      <c r="B52" s="7"/>
      <c r="C52" s="7"/>
      <c r="D52" s="7"/>
      <c r="E52" s="7"/>
      <c r="F52" s="7"/>
      <c r="G52" s="7"/>
      <c r="H52" s="7"/>
      <c r="I52" s="53" t="s">
        <v>90</v>
      </c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7"/>
      <c r="AI52" s="7"/>
      <c r="AJ52" s="80" t="s">
        <v>91</v>
      </c>
      <c r="AK52" s="80"/>
      <c r="AL52" s="80"/>
      <c r="AM52" s="80"/>
      <c r="AN52" s="80"/>
      <c r="AO52" s="80"/>
      <c r="AP52" s="80"/>
      <c r="AQ52" s="80"/>
      <c r="AR52" s="80"/>
      <c r="AS52" s="80"/>
    </row>
    <row r="53" ht="20.1" customHeight="1" spans="1:45">
      <c r="A53" s="7"/>
      <c r="B53" s="7"/>
      <c r="C53" s="7"/>
      <c r="D53" s="7"/>
      <c r="E53" s="7"/>
      <c r="F53" s="7"/>
      <c r="G53" s="7"/>
      <c r="H53" s="7"/>
      <c r="I53" s="53" t="s">
        <v>92</v>
      </c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7"/>
      <c r="AI53" s="7"/>
      <c r="AJ53" s="81" t="s">
        <v>93</v>
      </c>
      <c r="AK53" s="81"/>
      <c r="AL53" s="81"/>
      <c r="AM53" s="81"/>
      <c r="AN53" s="81"/>
      <c r="AO53" s="81"/>
      <c r="AP53" s="81"/>
      <c r="AQ53" s="81"/>
      <c r="AR53" s="81"/>
      <c r="AS53" s="81"/>
    </row>
    <row r="54" ht="32.25" customHeight="1" spans="1:45">
      <c r="A54" s="7"/>
      <c r="B54" s="7"/>
      <c r="C54" s="7"/>
      <c r="D54" s="7"/>
      <c r="E54" s="7"/>
      <c r="F54" s="7"/>
      <c r="G54" s="7"/>
      <c r="H54" s="7"/>
      <c r="I54" s="54" t="s">
        <v>94</v>
      </c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7"/>
      <c r="AI54" s="7"/>
      <c r="AJ54" s="81" t="s">
        <v>95</v>
      </c>
      <c r="AK54" s="81"/>
      <c r="AL54" s="81"/>
      <c r="AM54" s="81"/>
      <c r="AN54" s="81"/>
      <c r="AO54" s="81"/>
      <c r="AP54" s="81"/>
      <c r="AQ54" s="81"/>
      <c r="AR54" s="81"/>
      <c r="AS54" s="81"/>
    </row>
    <row r="55" ht="30" customHeight="1" spans="1:45">
      <c r="A55" s="7"/>
      <c r="B55" s="7"/>
      <c r="C55" s="7"/>
      <c r="D55" s="7"/>
      <c r="E55" s="7"/>
      <c r="F55" s="7"/>
      <c r="G55" s="7"/>
      <c r="H55" s="7"/>
      <c r="I55" s="55" t="s">
        <v>96</v>
      </c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7"/>
      <c r="AI55" s="7"/>
      <c r="AJ55" s="81" t="s">
        <v>97</v>
      </c>
      <c r="AK55" s="81"/>
      <c r="AL55" s="81"/>
      <c r="AM55" s="81"/>
      <c r="AN55" s="81"/>
      <c r="AO55" s="81"/>
      <c r="AP55" s="81"/>
      <c r="AQ55" s="81"/>
      <c r="AR55" s="81"/>
      <c r="AS55" s="81"/>
    </row>
    <row r="56" ht="24" customHeight="1" spans="1:45">
      <c r="A56" s="7"/>
      <c r="B56" s="7"/>
      <c r="C56" s="7"/>
      <c r="D56" s="7"/>
      <c r="E56" s="7"/>
      <c r="F56" s="7"/>
      <c r="G56" s="7"/>
      <c r="H56" s="7"/>
      <c r="I56" s="101" t="s">
        <v>197</v>
      </c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  <c r="AC56" s="101"/>
      <c r="AD56" s="101"/>
      <c r="AE56" s="101"/>
      <c r="AF56" s="101"/>
      <c r="AG56" s="101"/>
      <c r="AH56" s="7"/>
      <c r="AI56" s="7"/>
      <c r="AJ56" s="82" t="s">
        <v>99</v>
      </c>
      <c r="AK56" s="83"/>
      <c r="AL56" s="83"/>
      <c r="AM56" s="83"/>
      <c r="AN56" s="83"/>
      <c r="AO56" s="83"/>
      <c r="AP56" s="83"/>
      <c r="AQ56" s="83"/>
      <c r="AR56" s="83"/>
      <c r="AS56" s="83"/>
    </row>
    <row r="57" ht="31.5" customHeight="1" spans="8:35">
      <c r="H57" s="7"/>
      <c r="AH57" s="7"/>
      <c r="AI57" s="7"/>
    </row>
    <row r="58" ht="20.1" customHeight="1" spans="8:35">
      <c r="H58" s="7"/>
      <c r="AH58" s="7"/>
      <c r="AI58" s="7"/>
    </row>
    <row r="59" ht="20.1" customHeight="1" spans="8:35">
      <c r="H59" s="7"/>
      <c r="AH59" s="7"/>
      <c r="AI59" s="7"/>
    </row>
    <row r="60" ht="20.1" customHeight="1" spans="8:35">
      <c r="H60" s="7"/>
      <c r="AH60" s="7"/>
      <c r="AI60" s="7"/>
    </row>
    <row r="61" ht="20.1" customHeight="1" spans="8:35">
      <c r="H61" s="7"/>
      <c r="AH61" s="7"/>
      <c r="AI61" s="7"/>
    </row>
  </sheetData>
  <mergeCells count="46">
    <mergeCell ref="A1:G1"/>
    <mergeCell ref="I1:AG1"/>
    <mergeCell ref="AJ1:AS1"/>
    <mergeCell ref="A2:G2"/>
    <mergeCell ref="I2:J2"/>
    <mergeCell ref="M2:N2"/>
    <mergeCell ref="O2:Q2"/>
    <mergeCell ref="R2:AB2"/>
    <mergeCell ref="AC2:AF2"/>
    <mergeCell ref="AJ2:AS2"/>
    <mergeCell ref="I3:J3"/>
    <mergeCell ref="M3:Q3"/>
    <mergeCell ref="R3:U3"/>
    <mergeCell ref="V3:AB3"/>
    <mergeCell ref="AC3:AF3"/>
    <mergeCell ref="AJ3:AS3"/>
    <mergeCell ref="M4:AF4"/>
    <mergeCell ref="AM4:AR4"/>
    <mergeCell ref="AM6:AR6"/>
    <mergeCell ref="A47:G47"/>
    <mergeCell ref="A48:G48"/>
    <mergeCell ref="A49:G49"/>
    <mergeCell ref="A50:G50"/>
    <mergeCell ref="I50:AG50"/>
    <mergeCell ref="A51:G51"/>
    <mergeCell ref="I51:AG51"/>
    <mergeCell ref="AJ51:AS51"/>
    <mergeCell ref="I52:AG52"/>
    <mergeCell ref="AJ52:AS52"/>
    <mergeCell ref="I53:AG53"/>
    <mergeCell ref="AJ53:AS53"/>
    <mergeCell ref="I54:AG54"/>
    <mergeCell ref="AJ54:AS54"/>
    <mergeCell ref="I55:AG55"/>
    <mergeCell ref="AJ55:AS55"/>
    <mergeCell ref="I56:AG56"/>
    <mergeCell ref="AJ56:AS56"/>
    <mergeCell ref="I4:I5"/>
    <mergeCell ref="J4:J5"/>
    <mergeCell ref="K4:K5"/>
    <mergeCell ref="L4:L5"/>
    <mergeCell ref="AG4:AG5"/>
    <mergeCell ref="AJ4:AJ7"/>
    <mergeCell ref="AK4:AK7"/>
    <mergeCell ref="AL4:AL7"/>
    <mergeCell ref="AS4:AS6"/>
  </mergeCell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S61"/>
  <sheetViews>
    <sheetView topLeftCell="N40" workbookViewId="0">
      <selection activeCell="AJ1" sqref="AJ1:AS56"/>
    </sheetView>
  </sheetViews>
  <sheetFormatPr defaultColWidth="9" defaultRowHeight="13.5"/>
  <cols>
    <col min="1" max="1" width="5.3716814159292" style="93" customWidth="1"/>
    <col min="2" max="2" width="12.3716814159292" style="93" customWidth="1"/>
    <col min="3" max="3" width="9.75221238938053" style="93" customWidth="1"/>
    <col min="4" max="7" width="11.6283185840708" style="93" customWidth="1"/>
    <col min="8" max="8" width="9" style="93"/>
    <col min="9" max="9" width="4.12389380530973" style="93" customWidth="1"/>
    <col min="10" max="10" width="12" style="93" customWidth="1"/>
    <col min="11" max="11" width="8" style="93" customWidth="1"/>
    <col min="12" max="12" width="9" style="93"/>
    <col min="13" max="32" width="3.6283185840708" style="93" customWidth="1"/>
    <col min="33" max="35" width="9" style="93"/>
    <col min="36" max="36" width="4.6283185840708" style="93" customWidth="1"/>
    <col min="37" max="37" width="11.7522123893805" style="93" customWidth="1"/>
    <col min="38" max="16384" width="9" style="93"/>
  </cols>
  <sheetData>
    <row r="1" ht="47.25" customHeight="1" spans="1:45">
      <c r="A1" s="94" t="s">
        <v>0</v>
      </c>
      <c r="B1" s="94"/>
      <c r="C1" s="94"/>
      <c r="D1" s="94"/>
      <c r="E1" s="94"/>
      <c r="F1" s="94"/>
      <c r="G1" s="94"/>
      <c r="H1" s="7"/>
      <c r="I1" s="34" t="s">
        <v>1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7"/>
      <c r="AI1" s="7"/>
      <c r="AJ1" s="59" t="s">
        <v>2</v>
      </c>
      <c r="AK1" s="59"/>
      <c r="AL1" s="59"/>
      <c r="AM1" s="59"/>
      <c r="AN1" s="59"/>
      <c r="AO1" s="59"/>
      <c r="AP1" s="59"/>
      <c r="AQ1" s="59"/>
      <c r="AR1" s="59"/>
      <c r="AS1" s="59"/>
    </row>
    <row r="2" ht="14.25" customHeight="1" spans="1:45">
      <c r="A2" s="10" t="s">
        <v>100</v>
      </c>
      <c r="B2" s="11"/>
      <c r="C2" s="11"/>
      <c r="D2" s="11"/>
      <c r="E2" s="11"/>
      <c r="F2" s="11"/>
      <c r="G2" s="12"/>
      <c r="H2" s="7"/>
      <c r="I2" s="35" t="s">
        <v>4</v>
      </c>
      <c r="J2" s="36"/>
      <c r="K2" s="36" t="s">
        <v>5</v>
      </c>
      <c r="L2" s="36" t="s">
        <v>6</v>
      </c>
      <c r="M2" s="36">
        <v>2</v>
      </c>
      <c r="N2" s="36"/>
      <c r="O2" s="36" t="s">
        <v>7</v>
      </c>
      <c r="P2" s="36"/>
      <c r="Q2" s="36"/>
      <c r="R2" s="36" t="s">
        <v>150</v>
      </c>
      <c r="S2" s="36"/>
      <c r="T2" s="36"/>
      <c r="U2" s="36"/>
      <c r="V2" s="36"/>
      <c r="W2" s="36"/>
      <c r="X2" s="36"/>
      <c r="Y2" s="36"/>
      <c r="Z2" s="36"/>
      <c r="AA2" s="36"/>
      <c r="AB2" s="36"/>
      <c r="AC2" s="36" t="s">
        <v>9</v>
      </c>
      <c r="AD2" s="36"/>
      <c r="AE2" s="36"/>
      <c r="AF2" s="36"/>
      <c r="AG2" s="61" t="s">
        <v>10</v>
      </c>
      <c r="AH2" s="7"/>
      <c r="AI2" s="7"/>
      <c r="AJ2" s="62" t="s">
        <v>198</v>
      </c>
      <c r="AK2" s="63"/>
      <c r="AL2" s="63"/>
      <c r="AM2" s="63"/>
      <c r="AN2" s="63"/>
      <c r="AO2" s="63"/>
      <c r="AP2" s="63"/>
      <c r="AQ2" s="63"/>
      <c r="AR2" s="63"/>
      <c r="AS2" s="84"/>
    </row>
    <row r="3" ht="54" customHeight="1" spans="1:45">
      <c r="A3" s="13" t="s">
        <v>12</v>
      </c>
      <c r="B3" s="14" t="s">
        <v>13</v>
      </c>
      <c r="C3" s="14" t="s">
        <v>14</v>
      </c>
      <c r="D3" s="15" t="s">
        <v>15</v>
      </c>
      <c r="E3" s="15" t="s">
        <v>16</v>
      </c>
      <c r="F3" s="15" t="s">
        <v>17</v>
      </c>
      <c r="G3" s="95" t="s">
        <v>18</v>
      </c>
      <c r="H3" s="7"/>
      <c r="I3" s="37" t="s">
        <v>19</v>
      </c>
      <c r="J3" s="38"/>
      <c r="K3" s="38" t="s">
        <v>20</v>
      </c>
      <c r="L3" s="38" t="s">
        <v>21</v>
      </c>
      <c r="M3" s="38" t="s">
        <v>22</v>
      </c>
      <c r="N3" s="38"/>
      <c r="O3" s="38"/>
      <c r="P3" s="38"/>
      <c r="Q3" s="38"/>
      <c r="R3" s="38" t="s">
        <v>23</v>
      </c>
      <c r="S3" s="38"/>
      <c r="T3" s="38"/>
      <c r="U3" s="38"/>
      <c r="V3" s="56" t="s">
        <v>152</v>
      </c>
      <c r="W3" s="56"/>
      <c r="X3" s="56"/>
      <c r="Y3" s="56"/>
      <c r="Z3" s="56"/>
      <c r="AA3" s="56"/>
      <c r="AB3" s="56"/>
      <c r="AC3" s="38" t="s">
        <v>25</v>
      </c>
      <c r="AD3" s="38"/>
      <c r="AE3" s="38"/>
      <c r="AF3" s="38"/>
      <c r="AG3" s="64" t="s">
        <v>153</v>
      </c>
      <c r="AH3" s="7"/>
      <c r="AI3" s="7"/>
      <c r="AJ3" s="65" t="s">
        <v>27</v>
      </c>
      <c r="AK3" s="66"/>
      <c r="AL3" s="66"/>
      <c r="AM3" s="66"/>
      <c r="AN3" s="66"/>
      <c r="AO3" s="66"/>
      <c r="AP3" s="66"/>
      <c r="AQ3" s="66"/>
      <c r="AR3" s="66"/>
      <c r="AS3" s="85"/>
    </row>
    <row r="4" ht="20.1" customHeight="1" spans="1:45">
      <c r="A4" s="17">
        <v>1</v>
      </c>
      <c r="B4" s="18">
        <v>2018130184</v>
      </c>
      <c r="C4" s="123" t="s">
        <v>199</v>
      </c>
      <c r="D4" s="96"/>
      <c r="E4" s="97"/>
      <c r="F4" s="98"/>
      <c r="G4" s="21" t="e">
        <f t="shared" ref="G4:G45" si="0">C4*25%+E4*37.5%+F4*37.5%</f>
        <v>#VALUE!</v>
      </c>
      <c r="H4" s="7"/>
      <c r="I4" s="39" t="s">
        <v>29</v>
      </c>
      <c r="J4" s="40" t="s">
        <v>13</v>
      </c>
      <c r="K4" s="102" t="s">
        <v>14</v>
      </c>
      <c r="L4" s="103" t="s">
        <v>30</v>
      </c>
      <c r="M4" s="40" t="s">
        <v>31</v>
      </c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67" t="s">
        <v>32</v>
      </c>
      <c r="AH4" s="7"/>
      <c r="AI4" s="7"/>
      <c r="AJ4" s="68" t="s">
        <v>29</v>
      </c>
      <c r="AK4" s="69" t="s">
        <v>13</v>
      </c>
      <c r="AL4" s="69" t="s">
        <v>14</v>
      </c>
      <c r="AM4" s="86" t="s">
        <v>33</v>
      </c>
      <c r="AN4" s="87"/>
      <c r="AO4" s="87"/>
      <c r="AP4" s="87"/>
      <c r="AQ4" s="87"/>
      <c r="AR4" s="87"/>
      <c r="AS4" s="88" t="s">
        <v>34</v>
      </c>
    </row>
    <row r="5" ht="20.1" customHeight="1" spans="1:45">
      <c r="A5" s="17">
        <v>2</v>
      </c>
      <c r="B5" s="18">
        <v>2018130185</v>
      </c>
      <c r="C5" s="123" t="s">
        <v>200</v>
      </c>
      <c r="D5" s="96"/>
      <c r="E5" s="99"/>
      <c r="F5" s="98"/>
      <c r="G5" s="21" t="e">
        <f t="shared" si="0"/>
        <v>#VALUE!</v>
      </c>
      <c r="H5" s="7"/>
      <c r="I5" s="39"/>
      <c r="J5" s="40"/>
      <c r="K5" s="102"/>
      <c r="L5" s="104"/>
      <c r="M5" s="43">
        <v>1</v>
      </c>
      <c r="N5" s="43">
        <v>2</v>
      </c>
      <c r="O5" s="43">
        <v>3</v>
      </c>
      <c r="P5" s="43">
        <v>4</v>
      </c>
      <c r="Q5" s="43">
        <v>5</v>
      </c>
      <c r="R5" s="43">
        <v>6</v>
      </c>
      <c r="S5" s="43">
        <v>7</v>
      </c>
      <c r="T5" s="43">
        <v>8</v>
      </c>
      <c r="U5" s="43">
        <v>9</v>
      </c>
      <c r="V5" s="43">
        <v>10</v>
      </c>
      <c r="W5" s="43">
        <v>11</v>
      </c>
      <c r="X5" s="43">
        <v>12</v>
      </c>
      <c r="Y5" s="43">
        <v>13</v>
      </c>
      <c r="Z5" s="43">
        <v>14</v>
      </c>
      <c r="AA5" s="43">
        <v>15</v>
      </c>
      <c r="AB5" s="43">
        <v>16</v>
      </c>
      <c r="AC5" s="43">
        <v>17</v>
      </c>
      <c r="AD5" s="43">
        <v>18</v>
      </c>
      <c r="AE5" s="43">
        <v>19</v>
      </c>
      <c r="AF5" s="43">
        <v>20</v>
      </c>
      <c r="AG5" s="70"/>
      <c r="AH5" s="7"/>
      <c r="AI5" s="7"/>
      <c r="AJ5" s="71"/>
      <c r="AK5" s="72"/>
      <c r="AL5" s="72"/>
      <c r="AM5" s="40">
        <v>1</v>
      </c>
      <c r="AN5" s="40">
        <v>2</v>
      </c>
      <c r="AO5" s="40">
        <v>3</v>
      </c>
      <c r="AP5" s="40">
        <v>4</v>
      </c>
      <c r="AQ5" s="40">
        <v>5</v>
      </c>
      <c r="AR5" s="40">
        <v>6</v>
      </c>
      <c r="AS5" s="88"/>
    </row>
    <row r="6" ht="20.1" customHeight="1" spans="1:45">
      <c r="A6" s="17">
        <v>3</v>
      </c>
      <c r="B6" s="18">
        <v>2018130186</v>
      </c>
      <c r="C6" s="123" t="s">
        <v>201</v>
      </c>
      <c r="D6" s="96"/>
      <c r="E6" s="99"/>
      <c r="F6" s="98"/>
      <c r="G6" s="21" t="e">
        <f t="shared" si="0"/>
        <v>#VALUE!</v>
      </c>
      <c r="H6" s="7"/>
      <c r="I6" s="17">
        <v>1</v>
      </c>
      <c r="J6" s="18">
        <v>2018130184</v>
      </c>
      <c r="K6" s="123" t="s">
        <v>199</v>
      </c>
      <c r="L6" s="105" t="s">
        <v>202</v>
      </c>
      <c r="M6" s="45"/>
      <c r="N6" s="45"/>
      <c r="O6" s="45"/>
      <c r="P6" s="45"/>
      <c r="Q6" s="45"/>
      <c r="R6" s="45"/>
      <c r="S6" s="45"/>
      <c r="T6" s="45"/>
      <c r="U6" s="45"/>
      <c r="V6" s="57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107"/>
      <c r="AH6" s="7"/>
      <c r="AI6" s="7"/>
      <c r="AJ6" s="71"/>
      <c r="AK6" s="72"/>
      <c r="AL6" s="72"/>
      <c r="AM6" s="86" t="s">
        <v>38</v>
      </c>
      <c r="AN6" s="87"/>
      <c r="AO6" s="87"/>
      <c r="AP6" s="87"/>
      <c r="AQ6" s="87"/>
      <c r="AR6" s="87"/>
      <c r="AS6" s="88"/>
    </row>
    <row r="7" ht="20.1" customHeight="1" spans="1:45">
      <c r="A7" s="17">
        <v>4</v>
      </c>
      <c r="B7" s="18">
        <v>2018130187</v>
      </c>
      <c r="C7" s="123" t="s">
        <v>203</v>
      </c>
      <c r="D7" s="96"/>
      <c r="E7" s="99"/>
      <c r="F7" s="98"/>
      <c r="G7" s="21" t="e">
        <f t="shared" si="0"/>
        <v>#VALUE!</v>
      </c>
      <c r="H7" s="7"/>
      <c r="I7" s="17">
        <v>2</v>
      </c>
      <c r="J7" s="18">
        <v>2018130185</v>
      </c>
      <c r="K7" s="123" t="s">
        <v>200</v>
      </c>
      <c r="L7" s="105" t="s">
        <v>202</v>
      </c>
      <c r="M7" s="45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107"/>
      <c r="AH7" s="7"/>
      <c r="AI7" s="7"/>
      <c r="AJ7" s="74"/>
      <c r="AK7" s="75"/>
      <c r="AL7" s="75"/>
      <c r="AM7" s="108"/>
      <c r="AN7" s="108"/>
      <c r="AO7" s="108"/>
      <c r="AP7" s="108"/>
      <c r="AQ7" s="108"/>
      <c r="AR7" s="108"/>
      <c r="AS7" s="88"/>
    </row>
    <row r="8" ht="20.1" customHeight="1" spans="1:45">
      <c r="A8" s="17">
        <v>5</v>
      </c>
      <c r="B8" s="18">
        <v>2018130188</v>
      </c>
      <c r="C8" s="123" t="s">
        <v>204</v>
      </c>
      <c r="D8" s="96"/>
      <c r="E8" s="99"/>
      <c r="F8" s="98"/>
      <c r="G8" s="21" t="e">
        <f t="shared" si="0"/>
        <v>#VALUE!</v>
      </c>
      <c r="H8" s="7"/>
      <c r="I8" s="17">
        <v>3</v>
      </c>
      <c r="J8" s="18">
        <v>2018130186</v>
      </c>
      <c r="K8" s="123" t="s">
        <v>201</v>
      </c>
      <c r="L8" s="105" t="s">
        <v>202</v>
      </c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107"/>
      <c r="AH8" s="7"/>
      <c r="AI8" s="7"/>
      <c r="AJ8" s="17">
        <v>1</v>
      </c>
      <c r="AK8" s="18">
        <v>2018130184</v>
      </c>
      <c r="AL8" s="123" t="s">
        <v>199</v>
      </c>
      <c r="AM8" s="45"/>
      <c r="AN8" s="45"/>
      <c r="AO8" s="45"/>
      <c r="AP8" s="45"/>
      <c r="AQ8" s="45"/>
      <c r="AR8" s="45"/>
      <c r="AS8" s="107"/>
    </row>
    <row r="9" ht="20.1" customHeight="1" spans="1:45">
      <c r="A9" s="17">
        <v>6</v>
      </c>
      <c r="B9" s="18">
        <v>2018130189</v>
      </c>
      <c r="C9" s="123" t="s">
        <v>205</v>
      </c>
      <c r="D9" s="96"/>
      <c r="E9" s="99"/>
      <c r="F9" s="98"/>
      <c r="G9" s="21" t="e">
        <f t="shared" si="0"/>
        <v>#VALUE!</v>
      </c>
      <c r="H9" s="7"/>
      <c r="I9" s="17">
        <v>4</v>
      </c>
      <c r="J9" s="18">
        <v>2018130187</v>
      </c>
      <c r="K9" s="123" t="s">
        <v>203</v>
      </c>
      <c r="L9" s="105" t="s">
        <v>202</v>
      </c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107"/>
      <c r="AH9" s="7"/>
      <c r="AI9" s="7"/>
      <c r="AJ9" s="17">
        <v>2</v>
      </c>
      <c r="AK9" s="18">
        <v>2018130185</v>
      </c>
      <c r="AL9" s="123" t="s">
        <v>200</v>
      </c>
      <c r="AM9" s="45"/>
      <c r="AN9" s="45"/>
      <c r="AO9" s="45"/>
      <c r="AP9" s="45"/>
      <c r="AQ9" s="45"/>
      <c r="AR9" s="45"/>
      <c r="AS9" s="107"/>
    </row>
    <row r="10" ht="20.1" customHeight="1" spans="1:45">
      <c r="A10" s="17">
        <v>7</v>
      </c>
      <c r="B10" s="18">
        <v>2018130190</v>
      </c>
      <c r="C10" s="123" t="s">
        <v>206</v>
      </c>
      <c r="D10" s="96"/>
      <c r="E10" s="99"/>
      <c r="F10" s="98"/>
      <c r="G10" s="21" t="e">
        <f t="shared" si="0"/>
        <v>#VALUE!</v>
      </c>
      <c r="H10" s="7"/>
      <c r="I10" s="17">
        <v>5</v>
      </c>
      <c r="J10" s="18">
        <v>2018130188</v>
      </c>
      <c r="K10" s="123" t="s">
        <v>204</v>
      </c>
      <c r="L10" s="105" t="s">
        <v>202</v>
      </c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107"/>
      <c r="AH10" s="7"/>
      <c r="AI10" s="7"/>
      <c r="AJ10" s="17">
        <v>3</v>
      </c>
      <c r="AK10" s="18">
        <v>2018130186</v>
      </c>
      <c r="AL10" s="123" t="s">
        <v>201</v>
      </c>
      <c r="AM10" s="45"/>
      <c r="AN10" s="45"/>
      <c r="AO10" s="45"/>
      <c r="AP10" s="45"/>
      <c r="AQ10" s="45"/>
      <c r="AR10" s="45"/>
      <c r="AS10" s="107"/>
    </row>
    <row r="11" ht="20.1" customHeight="1" spans="1:45">
      <c r="A11" s="17">
        <v>8</v>
      </c>
      <c r="B11" s="18">
        <v>2018130191</v>
      </c>
      <c r="C11" s="123" t="s">
        <v>207</v>
      </c>
      <c r="D11" s="96"/>
      <c r="E11" s="99"/>
      <c r="F11" s="98"/>
      <c r="G11" s="21" t="e">
        <f t="shared" si="0"/>
        <v>#VALUE!</v>
      </c>
      <c r="H11" s="7"/>
      <c r="I11" s="17">
        <v>6</v>
      </c>
      <c r="J11" s="18">
        <v>2018130189</v>
      </c>
      <c r="K11" s="123" t="s">
        <v>205</v>
      </c>
      <c r="L11" s="105" t="s">
        <v>202</v>
      </c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107"/>
      <c r="AH11" s="7"/>
      <c r="AI11" s="7"/>
      <c r="AJ11" s="17">
        <v>4</v>
      </c>
      <c r="AK11" s="18">
        <v>2018130187</v>
      </c>
      <c r="AL11" s="123" t="s">
        <v>203</v>
      </c>
      <c r="AM11" s="45"/>
      <c r="AN11" s="45"/>
      <c r="AO11" s="45"/>
      <c r="AP11" s="45"/>
      <c r="AQ11" s="45"/>
      <c r="AR11" s="45"/>
      <c r="AS11" s="107"/>
    </row>
    <row r="12" ht="20.1" customHeight="1" spans="1:45">
      <c r="A12" s="17">
        <v>9</v>
      </c>
      <c r="B12" s="18">
        <v>2018130192</v>
      </c>
      <c r="C12" s="123" t="s">
        <v>208</v>
      </c>
      <c r="D12" s="96"/>
      <c r="E12" s="99"/>
      <c r="F12" s="98"/>
      <c r="G12" s="21" t="e">
        <f t="shared" si="0"/>
        <v>#VALUE!</v>
      </c>
      <c r="H12" s="7"/>
      <c r="I12" s="17">
        <v>7</v>
      </c>
      <c r="J12" s="18">
        <v>2018130190</v>
      </c>
      <c r="K12" s="123" t="s">
        <v>206</v>
      </c>
      <c r="L12" s="105" t="s">
        <v>202</v>
      </c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107"/>
      <c r="AH12" s="7"/>
      <c r="AI12" s="7"/>
      <c r="AJ12" s="17">
        <v>5</v>
      </c>
      <c r="AK12" s="18">
        <v>2018130188</v>
      </c>
      <c r="AL12" s="123" t="s">
        <v>204</v>
      </c>
      <c r="AM12" s="45"/>
      <c r="AN12" s="45"/>
      <c r="AO12" s="45"/>
      <c r="AP12" s="45"/>
      <c r="AQ12" s="45"/>
      <c r="AR12" s="45"/>
      <c r="AS12" s="107"/>
    </row>
    <row r="13" ht="20.1" customHeight="1" spans="1:45">
      <c r="A13" s="17">
        <v>10</v>
      </c>
      <c r="B13" s="18">
        <v>2018130193</v>
      </c>
      <c r="C13" s="123" t="s">
        <v>209</v>
      </c>
      <c r="D13" s="96"/>
      <c r="E13" s="99"/>
      <c r="F13" s="98"/>
      <c r="G13" s="21" t="e">
        <f t="shared" si="0"/>
        <v>#VALUE!</v>
      </c>
      <c r="H13" s="7"/>
      <c r="I13" s="17">
        <v>8</v>
      </c>
      <c r="J13" s="18">
        <v>2018130191</v>
      </c>
      <c r="K13" s="123" t="s">
        <v>207</v>
      </c>
      <c r="L13" s="105" t="s">
        <v>202</v>
      </c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107"/>
      <c r="AH13" s="7"/>
      <c r="AI13" s="7"/>
      <c r="AJ13" s="17">
        <v>6</v>
      </c>
      <c r="AK13" s="18">
        <v>2018130189</v>
      </c>
      <c r="AL13" s="123" t="s">
        <v>205</v>
      </c>
      <c r="AM13" s="45"/>
      <c r="AN13" s="45"/>
      <c r="AO13" s="45"/>
      <c r="AP13" s="45"/>
      <c r="AQ13" s="45"/>
      <c r="AR13" s="45"/>
      <c r="AS13" s="107"/>
    </row>
    <row r="14" ht="20.1" customHeight="1" spans="1:45">
      <c r="A14" s="17">
        <v>11</v>
      </c>
      <c r="B14" s="18">
        <v>2018130194</v>
      </c>
      <c r="C14" s="123" t="s">
        <v>210</v>
      </c>
      <c r="D14" s="96"/>
      <c r="E14" s="99"/>
      <c r="F14" s="98"/>
      <c r="G14" s="21" t="e">
        <f t="shared" si="0"/>
        <v>#VALUE!</v>
      </c>
      <c r="H14" s="7"/>
      <c r="I14" s="17">
        <v>9</v>
      </c>
      <c r="J14" s="18">
        <v>2018130192</v>
      </c>
      <c r="K14" s="123" t="s">
        <v>208</v>
      </c>
      <c r="L14" s="105" t="s">
        <v>202</v>
      </c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107"/>
      <c r="AH14" s="7"/>
      <c r="AI14" s="7"/>
      <c r="AJ14" s="17">
        <v>7</v>
      </c>
      <c r="AK14" s="18">
        <v>2018130190</v>
      </c>
      <c r="AL14" s="123" t="s">
        <v>206</v>
      </c>
      <c r="AM14" s="45"/>
      <c r="AN14" s="45"/>
      <c r="AO14" s="45"/>
      <c r="AP14" s="45"/>
      <c r="AQ14" s="45"/>
      <c r="AR14" s="45"/>
      <c r="AS14" s="107"/>
    </row>
    <row r="15" ht="20.1" customHeight="1" spans="1:45">
      <c r="A15" s="17">
        <v>12</v>
      </c>
      <c r="B15" s="18">
        <v>2018130195</v>
      </c>
      <c r="C15" s="123" t="s">
        <v>211</v>
      </c>
      <c r="D15" s="96"/>
      <c r="E15" s="99"/>
      <c r="F15" s="98"/>
      <c r="G15" s="21" t="e">
        <f t="shared" si="0"/>
        <v>#VALUE!</v>
      </c>
      <c r="H15" s="7"/>
      <c r="I15" s="17">
        <v>10</v>
      </c>
      <c r="J15" s="18">
        <v>2018130193</v>
      </c>
      <c r="K15" s="123" t="s">
        <v>209</v>
      </c>
      <c r="L15" s="105" t="s">
        <v>202</v>
      </c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107"/>
      <c r="AH15" s="7"/>
      <c r="AI15" s="7"/>
      <c r="AJ15" s="17">
        <v>8</v>
      </c>
      <c r="AK15" s="18">
        <v>2018130191</v>
      </c>
      <c r="AL15" s="123" t="s">
        <v>207</v>
      </c>
      <c r="AM15" s="45"/>
      <c r="AN15" s="45"/>
      <c r="AO15" s="45"/>
      <c r="AP15" s="45"/>
      <c r="AQ15" s="45"/>
      <c r="AR15" s="45"/>
      <c r="AS15" s="107"/>
    </row>
    <row r="16" ht="20.1" customHeight="1" spans="1:45">
      <c r="A16" s="17">
        <v>13</v>
      </c>
      <c r="B16" s="18">
        <v>2018130196</v>
      </c>
      <c r="C16" s="123" t="s">
        <v>212</v>
      </c>
      <c r="D16" s="96"/>
      <c r="E16" s="99"/>
      <c r="F16" s="98"/>
      <c r="G16" s="21" t="e">
        <f t="shared" si="0"/>
        <v>#VALUE!</v>
      </c>
      <c r="H16" s="7"/>
      <c r="I16" s="17">
        <v>11</v>
      </c>
      <c r="J16" s="18">
        <v>2018130194</v>
      </c>
      <c r="K16" s="123" t="s">
        <v>210</v>
      </c>
      <c r="L16" s="105" t="s">
        <v>202</v>
      </c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107"/>
      <c r="AH16" s="7"/>
      <c r="AI16" s="7"/>
      <c r="AJ16" s="17">
        <v>9</v>
      </c>
      <c r="AK16" s="18">
        <v>2018130192</v>
      </c>
      <c r="AL16" s="123" t="s">
        <v>208</v>
      </c>
      <c r="AM16" s="45"/>
      <c r="AN16" s="45"/>
      <c r="AO16" s="45"/>
      <c r="AP16" s="45"/>
      <c r="AQ16" s="45"/>
      <c r="AR16" s="45"/>
      <c r="AS16" s="107"/>
    </row>
    <row r="17" ht="20.1" customHeight="1" spans="1:45">
      <c r="A17" s="17">
        <v>14</v>
      </c>
      <c r="B17" s="18">
        <v>2018130197</v>
      </c>
      <c r="C17" s="123" t="s">
        <v>213</v>
      </c>
      <c r="D17" s="96"/>
      <c r="E17" s="99"/>
      <c r="F17" s="98"/>
      <c r="G17" s="21" t="e">
        <f t="shared" si="0"/>
        <v>#VALUE!</v>
      </c>
      <c r="H17" s="7"/>
      <c r="I17" s="17">
        <v>12</v>
      </c>
      <c r="J17" s="18">
        <v>2018130195</v>
      </c>
      <c r="K17" s="123" t="s">
        <v>211</v>
      </c>
      <c r="L17" s="105" t="s">
        <v>202</v>
      </c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107"/>
      <c r="AH17" s="7"/>
      <c r="AI17" s="7"/>
      <c r="AJ17" s="17">
        <v>10</v>
      </c>
      <c r="AK17" s="18">
        <v>2018130193</v>
      </c>
      <c r="AL17" s="123" t="s">
        <v>209</v>
      </c>
      <c r="AM17" s="45"/>
      <c r="AN17" s="45"/>
      <c r="AO17" s="45"/>
      <c r="AP17" s="45"/>
      <c r="AQ17" s="45"/>
      <c r="AR17" s="45"/>
      <c r="AS17" s="107"/>
    </row>
    <row r="18" ht="20.1" customHeight="1" spans="1:45">
      <c r="A18" s="17">
        <v>15</v>
      </c>
      <c r="B18" s="18">
        <v>2018130198</v>
      </c>
      <c r="C18" s="123" t="s">
        <v>214</v>
      </c>
      <c r="D18" s="96"/>
      <c r="E18" s="99"/>
      <c r="F18" s="98"/>
      <c r="G18" s="21" t="e">
        <f t="shared" si="0"/>
        <v>#VALUE!</v>
      </c>
      <c r="H18" s="7"/>
      <c r="I18" s="17">
        <v>13</v>
      </c>
      <c r="J18" s="18">
        <v>2018130196</v>
      </c>
      <c r="K18" s="123" t="s">
        <v>212</v>
      </c>
      <c r="L18" s="105" t="s">
        <v>202</v>
      </c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107"/>
      <c r="AH18" s="7"/>
      <c r="AI18" s="7"/>
      <c r="AJ18" s="17">
        <v>11</v>
      </c>
      <c r="AK18" s="18">
        <v>2018130194</v>
      </c>
      <c r="AL18" s="123" t="s">
        <v>210</v>
      </c>
      <c r="AM18" s="45"/>
      <c r="AN18" s="45"/>
      <c r="AO18" s="45"/>
      <c r="AP18" s="45"/>
      <c r="AQ18" s="45"/>
      <c r="AR18" s="45"/>
      <c r="AS18" s="107"/>
    </row>
    <row r="19" ht="20.1" customHeight="1" spans="1:45">
      <c r="A19" s="17">
        <v>16</v>
      </c>
      <c r="B19" s="18">
        <v>2018130199</v>
      </c>
      <c r="C19" s="123" t="s">
        <v>215</v>
      </c>
      <c r="D19" s="96"/>
      <c r="E19" s="99"/>
      <c r="F19" s="98"/>
      <c r="G19" s="21" t="e">
        <f t="shared" si="0"/>
        <v>#VALUE!</v>
      </c>
      <c r="H19" s="7"/>
      <c r="I19" s="17">
        <v>14</v>
      </c>
      <c r="J19" s="18">
        <v>2018130197</v>
      </c>
      <c r="K19" s="123" t="s">
        <v>213</v>
      </c>
      <c r="L19" s="105" t="s">
        <v>202</v>
      </c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57"/>
      <c r="Y19" s="45"/>
      <c r="Z19" s="45"/>
      <c r="AA19" s="45"/>
      <c r="AB19" s="45"/>
      <c r="AC19" s="45"/>
      <c r="AD19" s="45"/>
      <c r="AE19" s="45"/>
      <c r="AF19" s="45"/>
      <c r="AG19" s="107"/>
      <c r="AH19" s="7"/>
      <c r="AI19" s="7"/>
      <c r="AJ19" s="17">
        <v>12</v>
      </c>
      <c r="AK19" s="18">
        <v>2018130195</v>
      </c>
      <c r="AL19" s="123" t="s">
        <v>211</v>
      </c>
      <c r="AM19" s="45"/>
      <c r="AN19" s="45"/>
      <c r="AO19" s="45"/>
      <c r="AP19" s="45"/>
      <c r="AQ19" s="45"/>
      <c r="AR19" s="45"/>
      <c r="AS19" s="107"/>
    </row>
    <row r="20" ht="20.1" customHeight="1" spans="1:45">
      <c r="A20" s="17">
        <v>17</v>
      </c>
      <c r="B20" s="18">
        <v>2018130200</v>
      </c>
      <c r="C20" s="123" t="s">
        <v>216</v>
      </c>
      <c r="D20" s="96"/>
      <c r="E20" s="99"/>
      <c r="F20" s="98"/>
      <c r="G20" s="21" t="e">
        <f t="shared" si="0"/>
        <v>#VALUE!</v>
      </c>
      <c r="H20" s="7"/>
      <c r="I20" s="17">
        <v>15</v>
      </c>
      <c r="J20" s="18">
        <v>2018130198</v>
      </c>
      <c r="K20" s="123" t="s">
        <v>214</v>
      </c>
      <c r="L20" s="105" t="s">
        <v>202</v>
      </c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107"/>
      <c r="AH20" s="7"/>
      <c r="AI20" s="7"/>
      <c r="AJ20" s="17">
        <v>13</v>
      </c>
      <c r="AK20" s="18">
        <v>2018130196</v>
      </c>
      <c r="AL20" s="123" t="s">
        <v>212</v>
      </c>
      <c r="AM20" s="45"/>
      <c r="AN20" s="45"/>
      <c r="AO20" s="45"/>
      <c r="AP20" s="45"/>
      <c r="AQ20" s="45"/>
      <c r="AR20" s="45"/>
      <c r="AS20" s="107"/>
    </row>
    <row r="21" ht="20.1" customHeight="1" spans="1:45">
      <c r="A21" s="17">
        <v>18</v>
      </c>
      <c r="B21" s="18">
        <v>2018130201</v>
      </c>
      <c r="C21" s="123" t="s">
        <v>217</v>
      </c>
      <c r="D21" s="96"/>
      <c r="E21" s="99"/>
      <c r="F21" s="98"/>
      <c r="G21" s="21" t="e">
        <f t="shared" si="0"/>
        <v>#VALUE!</v>
      </c>
      <c r="H21" s="7"/>
      <c r="I21" s="17">
        <v>16</v>
      </c>
      <c r="J21" s="18">
        <v>2018130199</v>
      </c>
      <c r="K21" s="123" t="s">
        <v>215</v>
      </c>
      <c r="L21" s="105" t="s">
        <v>202</v>
      </c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107"/>
      <c r="AH21" s="7"/>
      <c r="AI21" s="7"/>
      <c r="AJ21" s="17">
        <v>14</v>
      </c>
      <c r="AK21" s="18">
        <v>2018130197</v>
      </c>
      <c r="AL21" s="123" t="s">
        <v>213</v>
      </c>
      <c r="AM21" s="45"/>
      <c r="AN21" s="45"/>
      <c r="AO21" s="45"/>
      <c r="AP21" s="45"/>
      <c r="AQ21" s="45"/>
      <c r="AR21" s="45"/>
      <c r="AS21" s="107"/>
    </row>
    <row r="22" ht="20.1" customHeight="1" spans="1:45">
      <c r="A22" s="17">
        <v>19</v>
      </c>
      <c r="B22" s="18">
        <v>2018130202</v>
      </c>
      <c r="C22" s="123" t="s">
        <v>218</v>
      </c>
      <c r="D22" s="96"/>
      <c r="E22" s="99"/>
      <c r="F22" s="98"/>
      <c r="G22" s="21" t="e">
        <f t="shared" si="0"/>
        <v>#VALUE!</v>
      </c>
      <c r="H22" s="7"/>
      <c r="I22" s="17">
        <v>17</v>
      </c>
      <c r="J22" s="18">
        <v>2018130200</v>
      </c>
      <c r="K22" s="123" t="s">
        <v>216</v>
      </c>
      <c r="L22" s="105" t="s">
        <v>202</v>
      </c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107"/>
      <c r="AH22" s="7"/>
      <c r="AI22" s="7"/>
      <c r="AJ22" s="17">
        <v>15</v>
      </c>
      <c r="AK22" s="18">
        <v>2018130198</v>
      </c>
      <c r="AL22" s="123" t="s">
        <v>214</v>
      </c>
      <c r="AM22" s="45"/>
      <c r="AN22" s="45"/>
      <c r="AO22" s="45"/>
      <c r="AP22" s="45"/>
      <c r="AQ22" s="45"/>
      <c r="AR22" s="45"/>
      <c r="AS22" s="107"/>
    </row>
    <row r="23" ht="20.1" customHeight="1" spans="1:45">
      <c r="A23" s="17">
        <v>20</v>
      </c>
      <c r="B23" s="18">
        <v>2018130203</v>
      </c>
      <c r="C23" s="123" t="s">
        <v>219</v>
      </c>
      <c r="D23" s="96"/>
      <c r="E23" s="99"/>
      <c r="F23" s="98"/>
      <c r="G23" s="21" t="e">
        <f t="shared" si="0"/>
        <v>#VALUE!</v>
      </c>
      <c r="H23" s="7"/>
      <c r="I23" s="17">
        <v>18</v>
      </c>
      <c r="J23" s="18">
        <v>2018130201</v>
      </c>
      <c r="K23" s="123" t="s">
        <v>217</v>
      </c>
      <c r="L23" s="105" t="s">
        <v>202</v>
      </c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107"/>
      <c r="AH23" s="7"/>
      <c r="AI23" s="7"/>
      <c r="AJ23" s="17">
        <v>16</v>
      </c>
      <c r="AK23" s="18">
        <v>2018130199</v>
      </c>
      <c r="AL23" s="123" t="s">
        <v>215</v>
      </c>
      <c r="AM23" s="45"/>
      <c r="AN23" s="45"/>
      <c r="AO23" s="45"/>
      <c r="AP23" s="45"/>
      <c r="AQ23" s="45"/>
      <c r="AR23" s="45"/>
      <c r="AS23" s="107"/>
    </row>
    <row r="24" ht="20.1" customHeight="1" spans="1:45">
      <c r="A24" s="17">
        <v>21</v>
      </c>
      <c r="B24" s="18">
        <v>2018130204</v>
      </c>
      <c r="C24" s="123" t="s">
        <v>220</v>
      </c>
      <c r="D24" s="96"/>
      <c r="E24" s="99"/>
      <c r="F24" s="98"/>
      <c r="G24" s="21" t="e">
        <f t="shared" si="0"/>
        <v>#VALUE!</v>
      </c>
      <c r="H24" s="7"/>
      <c r="I24" s="17">
        <v>19</v>
      </c>
      <c r="J24" s="18">
        <v>2018130202</v>
      </c>
      <c r="K24" s="123" t="s">
        <v>218</v>
      </c>
      <c r="L24" s="105" t="s">
        <v>202</v>
      </c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107"/>
      <c r="AH24" s="7"/>
      <c r="AI24" s="7"/>
      <c r="AJ24" s="17">
        <v>17</v>
      </c>
      <c r="AK24" s="18">
        <v>2018130200</v>
      </c>
      <c r="AL24" s="123" t="s">
        <v>216</v>
      </c>
      <c r="AM24" s="45"/>
      <c r="AN24" s="45"/>
      <c r="AO24" s="45"/>
      <c r="AP24" s="45"/>
      <c r="AQ24" s="45"/>
      <c r="AR24" s="45"/>
      <c r="AS24" s="107"/>
    </row>
    <row r="25" ht="20.1" customHeight="1" spans="1:45">
      <c r="A25" s="17">
        <v>22</v>
      </c>
      <c r="B25" s="18">
        <v>2018130205</v>
      </c>
      <c r="C25" s="123" t="s">
        <v>221</v>
      </c>
      <c r="D25" s="96"/>
      <c r="E25" s="99"/>
      <c r="F25" s="98"/>
      <c r="G25" s="21" t="e">
        <f t="shared" si="0"/>
        <v>#VALUE!</v>
      </c>
      <c r="H25" s="7"/>
      <c r="I25" s="17">
        <v>20</v>
      </c>
      <c r="J25" s="18">
        <v>2018130203</v>
      </c>
      <c r="K25" s="123" t="s">
        <v>219</v>
      </c>
      <c r="L25" s="105" t="s">
        <v>202</v>
      </c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107"/>
      <c r="AH25" s="7"/>
      <c r="AI25" s="7"/>
      <c r="AJ25" s="17">
        <v>18</v>
      </c>
      <c r="AK25" s="18">
        <v>2018130201</v>
      </c>
      <c r="AL25" s="123" t="s">
        <v>217</v>
      </c>
      <c r="AM25" s="45"/>
      <c r="AN25" s="45"/>
      <c r="AO25" s="45"/>
      <c r="AP25" s="45"/>
      <c r="AQ25" s="45"/>
      <c r="AR25" s="45"/>
      <c r="AS25" s="107"/>
    </row>
    <row r="26" ht="20.1" customHeight="1" spans="1:45">
      <c r="A26" s="17">
        <v>23</v>
      </c>
      <c r="B26" s="18">
        <v>2018130206</v>
      </c>
      <c r="C26" s="123" t="s">
        <v>222</v>
      </c>
      <c r="D26" s="96"/>
      <c r="E26" s="99"/>
      <c r="F26" s="98"/>
      <c r="G26" s="21" t="e">
        <f t="shared" si="0"/>
        <v>#VALUE!</v>
      </c>
      <c r="H26" s="7"/>
      <c r="I26" s="17">
        <v>21</v>
      </c>
      <c r="J26" s="18">
        <v>2018130204</v>
      </c>
      <c r="K26" s="123" t="s">
        <v>220</v>
      </c>
      <c r="L26" s="105" t="s">
        <v>202</v>
      </c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107"/>
      <c r="AH26" s="7"/>
      <c r="AI26" s="7"/>
      <c r="AJ26" s="17">
        <v>19</v>
      </c>
      <c r="AK26" s="18">
        <v>2018130202</v>
      </c>
      <c r="AL26" s="123" t="s">
        <v>218</v>
      </c>
      <c r="AM26" s="45"/>
      <c r="AN26" s="45"/>
      <c r="AO26" s="45"/>
      <c r="AP26" s="45"/>
      <c r="AQ26" s="45"/>
      <c r="AR26" s="45"/>
      <c r="AS26" s="107"/>
    </row>
    <row r="27" ht="20.1" customHeight="1" spans="1:45">
      <c r="A27" s="17">
        <v>24</v>
      </c>
      <c r="B27" s="18">
        <v>2018130207</v>
      </c>
      <c r="C27" s="123" t="s">
        <v>223</v>
      </c>
      <c r="D27" s="96"/>
      <c r="E27" s="99"/>
      <c r="F27" s="98"/>
      <c r="G27" s="21" t="e">
        <f t="shared" si="0"/>
        <v>#VALUE!</v>
      </c>
      <c r="H27" s="7"/>
      <c r="I27" s="17">
        <v>22</v>
      </c>
      <c r="J27" s="18">
        <v>2018130205</v>
      </c>
      <c r="K27" s="123" t="s">
        <v>221</v>
      </c>
      <c r="L27" s="105" t="s">
        <v>202</v>
      </c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107"/>
      <c r="AH27" s="7"/>
      <c r="AI27" s="7"/>
      <c r="AJ27" s="17">
        <v>20</v>
      </c>
      <c r="AK27" s="18">
        <v>2018130203</v>
      </c>
      <c r="AL27" s="123" t="s">
        <v>219</v>
      </c>
      <c r="AM27" s="45"/>
      <c r="AN27" s="45"/>
      <c r="AO27" s="45"/>
      <c r="AP27" s="45"/>
      <c r="AQ27" s="45"/>
      <c r="AR27" s="45"/>
      <c r="AS27" s="107"/>
    </row>
    <row r="28" ht="20.1" customHeight="1" spans="1:45">
      <c r="A28" s="17">
        <v>25</v>
      </c>
      <c r="B28" s="18">
        <v>2018130208</v>
      </c>
      <c r="C28" s="123" t="s">
        <v>224</v>
      </c>
      <c r="D28" s="96"/>
      <c r="E28" s="99"/>
      <c r="F28" s="98"/>
      <c r="G28" s="21" t="e">
        <f t="shared" si="0"/>
        <v>#VALUE!</v>
      </c>
      <c r="H28" s="7"/>
      <c r="I28" s="17">
        <v>23</v>
      </c>
      <c r="J28" s="18">
        <v>2018130206</v>
      </c>
      <c r="K28" s="123" t="s">
        <v>222</v>
      </c>
      <c r="L28" s="105" t="s">
        <v>202</v>
      </c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107"/>
      <c r="AH28" s="7"/>
      <c r="AI28" s="7"/>
      <c r="AJ28" s="17">
        <v>21</v>
      </c>
      <c r="AK28" s="18">
        <v>2018130204</v>
      </c>
      <c r="AL28" s="123" t="s">
        <v>220</v>
      </c>
      <c r="AM28" s="45"/>
      <c r="AN28" s="45"/>
      <c r="AO28" s="45"/>
      <c r="AP28" s="45"/>
      <c r="AQ28" s="45"/>
      <c r="AR28" s="45"/>
      <c r="AS28" s="107"/>
    </row>
    <row r="29" ht="20.1" customHeight="1" spans="1:45">
      <c r="A29" s="17">
        <v>26</v>
      </c>
      <c r="B29" s="18">
        <v>2018130209</v>
      </c>
      <c r="C29" s="123" t="s">
        <v>225</v>
      </c>
      <c r="D29" s="96"/>
      <c r="E29" s="99"/>
      <c r="F29" s="98"/>
      <c r="G29" s="21" t="e">
        <f t="shared" si="0"/>
        <v>#VALUE!</v>
      </c>
      <c r="H29" s="7"/>
      <c r="I29" s="17">
        <v>24</v>
      </c>
      <c r="J29" s="18">
        <v>2018130207</v>
      </c>
      <c r="K29" s="123" t="s">
        <v>223</v>
      </c>
      <c r="L29" s="105" t="s">
        <v>202</v>
      </c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107"/>
      <c r="AH29" s="7"/>
      <c r="AI29" s="7"/>
      <c r="AJ29" s="17">
        <v>22</v>
      </c>
      <c r="AK29" s="18">
        <v>2018130205</v>
      </c>
      <c r="AL29" s="123" t="s">
        <v>221</v>
      </c>
      <c r="AM29" s="45"/>
      <c r="AN29" s="45"/>
      <c r="AO29" s="45"/>
      <c r="AP29" s="45"/>
      <c r="AQ29" s="45"/>
      <c r="AR29" s="45"/>
      <c r="AS29" s="107"/>
    </row>
    <row r="30" ht="20.1" customHeight="1" spans="1:45">
      <c r="A30" s="17">
        <v>27</v>
      </c>
      <c r="B30" s="18">
        <v>2018130210</v>
      </c>
      <c r="C30" s="123" t="s">
        <v>226</v>
      </c>
      <c r="D30" s="96"/>
      <c r="E30" s="99"/>
      <c r="F30" s="98"/>
      <c r="G30" s="21" t="e">
        <f t="shared" si="0"/>
        <v>#VALUE!</v>
      </c>
      <c r="H30" s="7"/>
      <c r="I30" s="17">
        <v>25</v>
      </c>
      <c r="J30" s="18">
        <v>2018130208</v>
      </c>
      <c r="K30" s="123" t="s">
        <v>224</v>
      </c>
      <c r="L30" s="105" t="s">
        <v>202</v>
      </c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107"/>
      <c r="AH30" s="7"/>
      <c r="AI30" s="7"/>
      <c r="AJ30" s="17">
        <v>23</v>
      </c>
      <c r="AK30" s="18">
        <v>2018130206</v>
      </c>
      <c r="AL30" s="123" t="s">
        <v>222</v>
      </c>
      <c r="AM30" s="45"/>
      <c r="AN30" s="45"/>
      <c r="AO30" s="45"/>
      <c r="AP30" s="45"/>
      <c r="AQ30" s="45"/>
      <c r="AR30" s="45"/>
      <c r="AS30" s="107"/>
    </row>
    <row r="31" ht="20.1" customHeight="1" spans="1:45">
      <c r="A31" s="17">
        <v>28</v>
      </c>
      <c r="B31" s="18">
        <v>2018130211</v>
      </c>
      <c r="C31" s="123" t="s">
        <v>227</v>
      </c>
      <c r="D31" s="96"/>
      <c r="E31" s="99"/>
      <c r="F31" s="98"/>
      <c r="G31" s="21" t="e">
        <f t="shared" si="0"/>
        <v>#VALUE!</v>
      </c>
      <c r="H31" s="7"/>
      <c r="I31" s="17">
        <v>26</v>
      </c>
      <c r="J31" s="18">
        <v>2018130209</v>
      </c>
      <c r="K31" s="123" t="s">
        <v>225</v>
      </c>
      <c r="L31" s="105" t="s">
        <v>202</v>
      </c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107"/>
      <c r="AH31" s="7"/>
      <c r="AI31" s="7"/>
      <c r="AJ31" s="17">
        <v>24</v>
      </c>
      <c r="AK31" s="18">
        <v>2018130207</v>
      </c>
      <c r="AL31" s="123" t="s">
        <v>223</v>
      </c>
      <c r="AM31" s="45"/>
      <c r="AN31" s="45"/>
      <c r="AO31" s="45"/>
      <c r="AP31" s="45"/>
      <c r="AQ31" s="45"/>
      <c r="AR31" s="45"/>
      <c r="AS31" s="107"/>
    </row>
    <row r="32" ht="20.1" customHeight="1" spans="1:45">
      <c r="A32" s="17">
        <v>29</v>
      </c>
      <c r="B32" s="18">
        <v>2018130212</v>
      </c>
      <c r="C32" s="123" t="s">
        <v>228</v>
      </c>
      <c r="D32" s="96"/>
      <c r="E32" s="99"/>
      <c r="F32" s="98"/>
      <c r="G32" s="21" t="e">
        <f t="shared" si="0"/>
        <v>#VALUE!</v>
      </c>
      <c r="H32" s="7"/>
      <c r="I32" s="17">
        <v>27</v>
      </c>
      <c r="J32" s="18">
        <v>2018130210</v>
      </c>
      <c r="K32" s="123" t="s">
        <v>226</v>
      </c>
      <c r="L32" s="105" t="s">
        <v>202</v>
      </c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107"/>
      <c r="AH32" s="7"/>
      <c r="AI32" s="7"/>
      <c r="AJ32" s="17">
        <v>25</v>
      </c>
      <c r="AK32" s="18">
        <v>2018130208</v>
      </c>
      <c r="AL32" s="123" t="s">
        <v>224</v>
      </c>
      <c r="AM32" s="45"/>
      <c r="AN32" s="45"/>
      <c r="AO32" s="45"/>
      <c r="AP32" s="45"/>
      <c r="AQ32" s="45"/>
      <c r="AR32" s="45"/>
      <c r="AS32" s="107"/>
    </row>
    <row r="33" ht="20.1" customHeight="1" spans="1:45">
      <c r="A33" s="17">
        <v>30</v>
      </c>
      <c r="B33" s="18">
        <v>2018130213</v>
      </c>
      <c r="C33" s="123" t="s">
        <v>229</v>
      </c>
      <c r="D33" s="96"/>
      <c r="E33" s="99"/>
      <c r="F33" s="98"/>
      <c r="G33" s="21" t="e">
        <f t="shared" si="0"/>
        <v>#VALUE!</v>
      </c>
      <c r="H33" s="7"/>
      <c r="I33" s="17">
        <v>28</v>
      </c>
      <c r="J33" s="18">
        <v>2018130211</v>
      </c>
      <c r="K33" s="123" t="s">
        <v>227</v>
      </c>
      <c r="L33" s="105" t="s">
        <v>202</v>
      </c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107"/>
      <c r="AH33" s="7"/>
      <c r="AI33" s="7"/>
      <c r="AJ33" s="17">
        <v>26</v>
      </c>
      <c r="AK33" s="18">
        <v>2018130209</v>
      </c>
      <c r="AL33" s="123" t="s">
        <v>225</v>
      </c>
      <c r="AM33" s="45"/>
      <c r="AN33" s="45"/>
      <c r="AO33" s="45"/>
      <c r="AP33" s="45"/>
      <c r="AQ33" s="45"/>
      <c r="AR33" s="45"/>
      <c r="AS33" s="107"/>
    </row>
    <row r="34" ht="20.1" customHeight="1" spans="1:45">
      <c r="A34" s="17">
        <v>31</v>
      </c>
      <c r="B34" s="18">
        <v>2018130214</v>
      </c>
      <c r="C34" s="123" t="s">
        <v>230</v>
      </c>
      <c r="D34" s="96"/>
      <c r="E34" s="99"/>
      <c r="F34" s="98"/>
      <c r="G34" s="21" t="e">
        <f t="shared" si="0"/>
        <v>#VALUE!</v>
      </c>
      <c r="H34" s="7"/>
      <c r="I34" s="17">
        <v>29</v>
      </c>
      <c r="J34" s="18">
        <v>2018130212</v>
      </c>
      <c r="K34" s="123" t="s">
        <v>228</v>
      </c>
      <c r="L34" s="105" t="s">
        <v>202</v>
      </c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107"/>
      <c r="AH34" s="7"/>
      <c r="AI34" s="7"/>
      <c r="AJ34" s="17">
        <v>27</v>
      </c>
      <c r="AK34" s="18">
        <v>2018130210</v>
      </c>
      <c r="AL34" s="123" t="s">
        <v>226</v>
      </c>
      <c r="AM34" s="45"/>
      <c r="AN34" s="45"/>
      <c r="AO34" s="45"/>
      <c r="AP34" s="45"/>
      <c r="AQ34" s="45"/>
      <c r="AR34" s="45"/>
      <c r="AS34" s="107"/>
    </row>
    <row r="35" ht="20.1" customHeight="1" spans="1:45">
      <c r="A35" s="17">
        <v>32</v>
      </c>
      <c r="B35" s="18">
        <v>2018130215</v>
      </c>
      <c r="C35" s="123" t="s">
        <v>231</v>
      </c>
      <c r="D35" s="96"/>
      <c r="E35" s="99"/>
      <c r="F35" s="98"/>
      <c r="G35" s="21" t="e">
        <f t="shared" si="0"/>
        <v>#VALUE!</v>
      </c>
      <c r="H35" s="7"/>
      <c r="I35" s="17">
        <v>30</v>
      </c>
      <c r="J35" s="18">
        <v>2018130213</v>
      </c>
      <c r="K35" s="123" t="s">
        <v>229</v>
      </c>
      <c r="L35" s="105" t="s">
        <v>202</v>
      </c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107"/>
      <c r="AH35" s="7"/>
      <c r="AI35" s="7"/>
      <c r="AJ35" s="17">
        <v>28</v>
      </c>
      <c r="AK35" s="18">
        <v>2018130211</v>
      </c>
      <c r="AL35" s="123" t="s">
        <v>227</v>
      </c>
      <c r="AM35" s="45"/>
      <c r="AN35" s="45"/>
      <c r="AO35" s="45"/>
      <c r="AP35" s="45"/>
      <c r="AQ35" s="45"/>
      <c r="AR35" s="45"/>
      <c r="AS35" s="107"/>
    </row>
    <row r="36" ht="20.1" customHeight="1" spans="1:45">
      <c r="A36" s="17">
        <v>33</v>
      </c>
      <c r="B36" s="18">
        <v>2018130216</v>
      </c>
      <c r="C36" s="123" t="s">
        <v>232</v>
      </c>
      <c r="D36" s="96"/>
      <c r="E36" s="99"/>
      <c r="F36" s="98"/>
      <c r="G36" s="21" t="e">
        <f t="shared" si="0"/>
        <v>#VALUE!</v>
      </c>
      <c r="H36" s="7"/>
      <c r="I36" s="17">
        <v>31</v>
      </c>
      <c r="J36" s="18">
        <v>2018130214</v>
      </c>
      <c r="K36" s="123" t="s">
        <v>230</v>
      </c>
      <c r="L36" s="105" t="s">
        <v>202</v>
      </c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107"/>
      <c r="AH36" s="7"/>
      <c r="AI36" s="7"/>
      <c r="AJ36" s="17">
        <v>29</v>
      </c>
      <c r="AK36" s="18">
        <v>2018130212</v>
      </c>
      <c r="AL36" s="123" t="s">
        <v>228</v>
      </c>
      <c r="AM36" s="45"/>
      <c r="AN36" s="45"/>
      <c r="AO36" s="45"/>
      <c r="AP36" s="45"/>
      <c r="AQ36" s="45"/>
      <c r="AR36" s="45"/>
      <c r="AS36" s="107"/>
    </row>
    <row r="37" ht="20.1" customHeight="1" spans="1:45">
      <c r="A37" s="17">
        <v>34</v>
      </c>
      <c r="B37" s="18">
        <v>2018130217</v>
      </c>
      <c r="C37" s="123" t="s">
        <v>233</v>
      </c>
      <c r="D37" s="96"/>
      <c r="E37" s="99"/>
      <c r="F37" s="98"/>
      <c r="G37" s="21" t="e">
        <f t="shared" si="0"/>
        <v>#VALUE!</v>
      </c>
      <c r="H37" s="7"/>
      <c r="I37" s="17">
        <v>32</v>
      </c>
      <c r="J37" s="18">
        <v>2018130215</v>
      </c>
      <c r="K37" s="123" t="s">
        <v>231</v>
      </c>
      <c r="L37" s="105" t="s">
        <v>202</v>
      </c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107"/>
      <c r="AH37" s="7"/>
      <c r="AI37" s="7"/>
      <c r="AJ37" s="17">
        <v>30</v>
      </c>
      <c r="AK37" s="18">
        <v>2018130213</v>
      </c>
      <c r="AL37" s="123" t="s">
        <v>229</v>
      </c>
      <c r="AM37" s="45"/>
      <c r="AN37" s="45"/>
      <c r="AO37" s="45"/>
      <c r="AP37" s="45"/>
      <c r="AQ37" s="45"/>
      <c r="AR37" s="45"/>
      <c r="AS37" s="107"/>
    </row>
    <row r="38" ht="20.1" customHeight="1" spans="1:45">
      <c r="A38" s="17">
        <v>35</v>
      </c>
      <c r="B38" s="18">
        <v>2018130218</v>
      </c>
      <c r="C38" s="123" t="s">
        <v>234</v>
      </c>
      <c r="D38" s="96"/>
      <c r="E38" s="99"/>
      <c r="F38" s="98"/>
      <c r="G38" s="21" t="e">
        <f t="shared" si="0"/>
        <v>#VALUE!</v>
      </c>
      <c r="H38" s="7"/>
      <c r="I38" s="17">
        <v>33</v>
      </c>
      <c r="J38" s="18">
        <v>2018130216</v>
      </c>
      <c r="K38" s="123" t="s">
        <v>232</v>
      </c>
      <c r="L38" s="105" t="s">
        <v>202</v>
      </c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107"/>
      <c r="AH38" s="7"/>
      <c r="AI38" s="7"/>
      <c r="AJ38" s="17">
        <v>31</v>
      </c>
      <c r="AK38" s="18">
        <v>2018130214</v>
      </c>
      <c r="AL38" s="123" t="s">
        <v>230</v>
      </c>
      <c r="AM38" s="45"/>
      <c r="AN38" s="45"/>
      <c r="AO38" s="45"/>
      <c r="AP38" s="45"/>
      <c r="AQ38" s="45"/>
      <c r="AR38" s="45"/>
      <c r="AS38" s="107"/>
    </row>
    <row r="39" ht="20.1" customHeight="1" spans="1:45">
      <c r="A39" s="17">
        <v>36</v>
      </c>
      <c r="B39" s="18">
        <v>2018130219</v>
      </c>
      <c r="C39" s="123" t="s">
        <v>235</v>
      </c>
      <c r="D39" s="96"/>
      <c r="E39" s="99"/>
      <c r="F39" s="98"/>
      <c r="G39" s="21" t="e">
        <f t="shared" si="0"/>
        <v>#VALUE!</v>
      </c>
      <c r="H39" s="7"/>
      <c r="I39" s="17">
        <v>34</v>
      </c>
      <c r="J39" s="18">
        <v>2018130217</v>
      </c>
      <c r="K39" s="123" t="s">
        <v>233</v>
      </c>
      <c r="L39" s="105" t="s">
        <v>202</v>
      </c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107"/>
      <c r="AH39" s="7"/>
      <c r="AI39" s="7"/>
      <c r="AJ39" s="17">
        <v>32</v>
      </c>
      <c r="AK39" s="18">
        <v>2018130215</v>
      </c>
      <c r="AL39" s="123" t="s">
        <v>231</v>
      </c>
      <c r="AM39" s="45"/>
      <c r="AN39" s="45"/>
      <c r="AO39" s="45"/>
      <c r="AP39" s="45"/>
      <c r="AQ39" s="45"/>
      <c r="AR39" s="45"/>
      <c r="AS39" s="107"/>
    </row>
    <row r="40" ht="20.1" customHeight="1" spans="1:45">
      <c r="A40" s="17">
        <v>37</v>
      </c>
      <c r="B40" s="18">
        <v>2018130220</v>
      </c>
      <c r="C40" s="123" t="s">
        <v>236</v>
      </c>
      <c r="D40" s="96"/>
      <c r="E40" s="99"/>
      <c r="F40" s="98"/>
      <c r="G40" s="21" t="e">
        <f t="shared" si="0"/>
        <v>#VALUE!</v>
      </c>
      <c r="H40" s="7"/>
      <c r="I40" s="17">
        <v>35</v>
      </c>
      <c r="J40" s="18">
        <v>2018130218</v>
      </c>
      <c r="K40" s="123" t="s">
        <v>234</v>
      </c>
      <c r="L40" s="105" t="s">
        <v>202</v>
      </c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107"/>
      <c r="AH40" s="7"/>
      <c r="AI40" s="7"/>
      <c r="AJ40" s="17">
        <v>33</v>
      </c>
      <c r="AK40" s="18">
        <v>2018130216</v>
      </c>
      <c r="AL40" s="123" t="s">
        <v>232</v>
      </c>
      <c r="AM40" s="45"/>
      <c r="AN40" s="45"/>
      <c r="AO40" s="45"/>
      <c r="AP40" s="45"/>
      <c r="AQ40" s="45"/>
      <c r="AR40" s="45"/>
      <c r="AS40" s="107"/>
    </row>
    <row r="41" ht="20.1" customHeight="1" spans="1:45">
      <c r="A41" s="17">
        <v>38</v>
      </c>
      <c r="B41" s="18">
        <v>2018130221</v>
      </c>
      <c r="C41" s="123" t="s">
        <v>237</v>
      </c>
      <c r="D41" s="96"/>
      <c r="E41" s="99"/>
      <c r="F41" s="98"/>
      <c r="G41" s="21" t="e">
        <f t="shared" si="0"/>
        <v>#VALUE!</v>
      </c>
      <c r="H41" s="7"/>
      <c r="I41" s="17">
        <v>36</v>
      </c>
      <c r="J41" s="18">
        <v>2018130219</v>
      </c>
      <c r="K41" s="123" t="s">
        <v>235</v>
      </c>
      <c r="L41" s="105" t="s">
        <v>202</v>
      </c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107"/>
      <c r="AH41" s="7"/>
      <c r="AI41" s="7"/>
      <c r="AJ41" s="17">
        <v>34</v>
      </c>
      <c r="AK41" s="18">
        <v>2018130217</v>
      </c>
      <c r="AL41" s="123" t="s">
        <v>233</v>
      </c>
      <c r="AM41" s="45"/>
      <c r="AN41" s="45"/>
      <c r="AO41" s="45"/>
      <c r="AP41" s="45"/>
      <c r="AQ41" s="45"/>
      <c r="AR41" s="45"/>
      <c r="AS41" s="107"/>
    </row>
    <row r="42" ht="20.1" customHeight="1" spans="1:45">
      <c r="A42" s="17">
        <v>39</v>
      </c>
      <c r="B42" s="18">
        <v>2018130222</v>
      </c>
      <c r="C42" s="123" t="s">
        <v>238</v>
      </c>
      <c r="D42" s="96"/>
      <c r="E42" s="99"/>
      <c r="F42" s="98"/>
      <c r="G42" s="21" t="e">
        <f t="shared" si="0"/>
        <v>#VALUE!</v>
      </c>
      <c r="H42" s="7"/>
      <c r="I42" s="17">
        <v>37</v>
      </c>
      <c r="J42" s="18">
        <v>2018130220</v>
      </c>
      <c r="K42" s="123" t="s">
        <v>236</v>
      </c>
      <c r="L42" s="105" t="s">
        <v>202</v>
      </c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107"/>
      <c r="AH42" s="7"/>
      <c r="AI42" s="7"/>
      <c r="AJ42" s="17">
        <v>35</v>
      </c>
      <c r="AK42" s="18">
        <v>2018130218</v>
      </c>
      <c r="AL42" s="123" t="s">
        <v>234</v>
      </c>
      <c r="AM42" s="45"/>
      <c r="AN42" s="45"/>
      <c r="AO42" s="45"/>
      <c r="AP42" s="45"/>
      <c r="AQ42" s="45"/>
      <c r="AR42" s="45"/>
      <c r="AS42" s="107"/>
    </row>
    <row r="43" ht="20.1" customHeight="1" spans="1:45">
      <c r="A43" s="17">
        <v>40</v>
      </c>
      <c r="B43" s="18">
        <v>2018130223</v>
      </c>
      <c r="C43" s="123" t="s">
        <v>239</v>
      </c>
      <c r="D43" s="96"/>
      <c r="E43" s="99"/>
      <c r="F43" s="98"/>
      <c r="G43" s="21" t="e">
        <f t="shared" si="0"/>
        <v>#VALUE!</v>
      </c>
      <c r="H43" s="7"/>
      <c r="I43" s="17">
        <v>38</v>
      </c>
      <c r="J43" s="18">
        <v>2018130221</v>
      </c>
      <c r="K43" s="123" t="s">
        <v>237</v>
      </c>
      <c r="L43" s="105" t="s">
        <v>202</v>
      </c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107"/>
      <c r="AH43" s="7"/>
      <c r="AI43" s="7"/>
      <c r="AJ43" s="17">
        <v>36</v>
      </c>
      <c r="AK43" s="18">
        <v>2018130219</v>
      </c>
      <c r="AL43" s="123" t="s">
        <v>235</v>
      </c>
      <c r="AM43" s="45"/>
      <c r="AN43" s="45"/>
      <c r="AO43" s="45"/>
      <c r="AP43" s="45"/>
      <c r="AQ43" s="45"/>
      <c r="AR43" s="45"/>
      <c r="AS43" s="107"/>
    </row>
    <row r="44" ht="20.1" customHeight="1" spans="1:45">
      <c r="A44" s="17">
        <v>41</v>
      </c>
      <c r="B44" s="18">
        <v>2018130225</v>
      </c>
      <c r="C44" s="123" t="s">
        <v>240</v>
      </c>
      <c r="D44" s="96"/>
      <c r="E44" s="99"/>
      <c r="F44" s="98"/>
      <c r="G44" s="21" t="e">
        <f t="shared" si="0"/>
        <v>#VALUE!</v>
      </c>
      <c r="H44" s="7"/>
      <c r="I44" s="17">
        <v>39</v>
      </c>
      <c r="J44" s="18">
        <v>2018130222</v>
      </c>
      <c r="K44" s="123" t="s">
        <v>238</v>
      </c>
      <c r="L44" s="105" t="s">
        <v>202</v>
      </c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107"/>
      <c r="AH44" s="7"/>
      <c r="AI44" s="7"/>
      <c r="AJ44" s="17">
        <v>37</v>
      </c>
      <c r="AK44" s="18">
        <v>2018130220</v>
      </c>
      <c r="AL44" s="123" t="s">
        <v>236</v>
      </c>
      <c r="AM44" s="45"/>
      <c r="AN44" s="45"/>
      <c r="AO44" s="45"/>
      <c r="AP44" s="45"/>
      <c r="AQ44" s="45"/>
      <c r="AR44" s="45"/>
      <c r="AS44" s="107"/>
    </row>
    <row r="45" ht="20.1" customHeight="1" spans="1:45">
      <c r="A45" s="17">
        <v>42</v>
      </c>
      <c r="B45" s="18">
        <v>2018130226</v>
      </c>
      <c r="C45" s="123" t="s">
        <v>241</v>
      </c>
      <c r="D45" s="96"/>
      <c r="E45" s="99"/>
      <c r="F45" s="98"/>
      <c r="G45" s="21" t="e">
        <f t="shared" si="0"/>
        <v>#VALUE!</v>
      </c>
      <c r="H45" s="7"/>
      <c r="I45" s="17">
        <v>40</v>
      </c>
      <c r="J45" s="18">
        <v>2018130223</v>
      </c>
      <c r="K45" s="123" t="s">
        <v>239</v>
      </c>
      <c r="L45" s="105" t="s">
        <v>202</v>
      </c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57"/>
      <c r="AE45" s="45"/>
      <c r="AF45" s="45"/>
      <c r="AG45" s="107"/>
      <c r="AH45" s="7"/>
      <c r="AI45" s="7"/>
      <c r="AJ45" s="17">
        <v>38</v>
      </c>
      <c r="AK45" s="18">
        <v>2018130221</v>
      </c>
      <c r="AL45" s="123" t="s">
        <v>237</v>
      </c>
      <c r="AM45" s="45"/>
      <c r="AN45" s="45"/>
      <c r="AO45" s="45"/>
      <c r="AP45" s="45"/>
      <c r="AQ45" s="45"/>
      <c r="AR45" s="45"/>
      <c r="AS45" s="107"/>
    </row>
    <row r="46" ht="20.1" customHeight="1" spans="1:45">
      <c r="A46" s="28"/>
      <c r="B46" s="78"/>
      <c r="C46" s="100"/>
      <c r="D46" s="29"/>
      <c r="E46" s="29"/>
      <c r="F46" s="29"/>
      <c r="G46" s="29"/>
      <c r="H46" s="7"/>
      <c r="I46" s="17">
        <v>41</v>
      </c>
      <c r="J46" s="18">
        <v>2018130225</v>
      </c>
      <c r="K46" s="123" t="s">
        <v>240</v>
      </c>
      <c r="L46" s="105" t="s">
        <v>202</v>
      </c>
      <c r="M46" s="45"/>
      <c r="N46" s="45"/>
      <c r="O46" s="45"/>
      <c r="P46" s="45"/>
      <c r="Q46" s="45"/>
      <c r="R46" s="45"/>
      <c r="S46" s="45"/>
      <c r="T46" s="45"/>
      <c r="U46" s="57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107"/>
      <c r="AH46" s="7"/>
      <c r="AI46" s="7"/>
      <c r="AJ46" s="17">
        <v>39</v>
      </c>
      <c r="AK46" s="18">
        <v>2018130222</v>
      </c>
      <c r="AL46" s="123" t="s">
        <v>238</v>
      </c>
      <c r="AM46" s="45"/>
      <c r="AN46" s="45"/>
      <c r="AO46" s="45"/>
      <c r="AP46" s="45"/>
      <c r="AQ46" s="45"/>
      <c r="AR46" s="45"/>
      <c r="AS46" s="107"/>
    </row>
    <row r="47" ht="20.1" customHeight="1" spans="1:45">
      <c r="A47" s="31" t="s">
        <v>81</v>
      </c>
      <c r="B47" s="31"/>
      <c r="C47" s="31"/>
      <c r="D47" s="31"/>
      <c r="E47" s="31"/>
      <c r="F47" s="31"/>
      <c r="G47" s="31"/>
      <c r="H47" s="7"/>
      <c r="I47" s="47">
        <v>42</v>
      </c>
      <c r="J47" s="24">
        <v>2018130226</v>
      </c>
      <c r="K47" s="124" t="s">
        <v>241</v>
      </c>
      <c r="L47" s="110" t="s">
        <v>202</v>
      </c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111"/>
      <c r="AH47" s="7"/>
      <c r="AI47" s="7"/>
      <c r="AJ47" s="17">
        <v>40</v>
      </c>
      <c r="AK47" s="18">
        <v>2018130223</v>
      </c>
      <c r="AL47" s="123" t="s">
        <v>239</v>
      </c>
      <c r="AM47" s="45"/>
      <c r="AN47" s="45"/>
      <c r="AO47" s="45"/>
      <c r="AP47" s="45"/>
      <c r="AQ47" s="45"/>
      <c r="AR47" s="45"/>
      <c r="AS47" s="107"/>
    </row>
    <row r="48" ht="20.1" customHeight="1" spans="1:45">
      <c r="A48" s="32" t="s">
        <v>82</v>
      </c>
      <c r="B48" s="32"/>
      <c r="C48" s="32"/>
      <c r="D48" s="32"/>
      <c r="E48" s="32"/>
      <c r="F48" s="32"/>
      <c r="G48" s="32"/>
      <c r="H48" s="7"/>
      <c r="I48" s="77"/>
      <c r="J48" s="78"/>
      <c r="K48" s="100"/>
      <c r="L48" s="92"/>
      <c r="M48" s="92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  <c r="AF48" s="106"/>
      <c r="AG48" s="106"/>
      <c r="AH48" s="7"/>
      <c r="AI48" s="7"/>
      <c r="AJ48" s="17">
        <v>41</v>
      </c>
      <c r="AK48" s="18">
        <v>2018130225</v>
      </c>
      <c r="AL48" s="123" t="s">
        <v>240</v>
      </c>
      <c r="AM48" s="45"/>
      <c r="AN48" s="45"/>
      <c r="AO48" s="45"/>
      <c r="AP48" s="45"/>
      <c r="AQ48" s="45"/>
      <c r="AR48" s="45"/>
      <c r="AS48" s="107"/>
    </row>
    <row r="49" ht="27.75" customHeight="1" spans="1:45">
      <c r="A49" s="32" t="s">
        <v>83</v>
      </c>
      <c r="B49" s="32"/>
      <c r="C49" s="32"/>
      <c r="D49" s="32"/>
      <c r="E49" s="32"/>
      <c r="F49" s="32"/>
      <c r="G49" s="32"/>
      <c r="H49" s="7"/>
      <c r="I49" s="51" t="s">
        <v>84</v>
      </c>
      <c r="J49" s="51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47">
        <v>42</v>
      </c>
      <c r="AK49" s="24">
        <v>2018130226</v>
      </c>
      <c r="AL49" s="124" t="s">
        <v>241</v>
      </c>
      <c r="AM49" s="50"/>
      <c r="AN49" s="50"/>
      <c r="AO49" s="50"/>
      <c r="AP49" s="50"/>
      <c r="AQ49" s="50"/>
      <c r="AR49" s="50"/>
      <c r="AS49" s="111"/>
    </row>
    <row r="50" ht="20.1" customHeight="1" spans="1:45">
      <c r="A50" s="32" t="s">
        <v>85</v>
      </c>
      <c r="B50" s="32"/>
      <c r="C50" s="32"/>
      <c r="D50" s="32"/>
      <c r="E50" s="32"/>
      <c r="F50" s="32"/>
      <c r="G50" s="32"/>
      <c r="H50" s="7"/>
      <c r="I50" s="52" t="s">
        <v>86</v>
      </c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7"/>
      <c r="AI50" s="7"/>
      <c r="AJ50" s="77"/>
      <c r="AK50" s="78"/>
      <c r="AL50" s="100"/>
      <c r="AM50" s="92"/>
      <c r="AN50" s="92"/>
      <c r="AO50" s="92"/>
      <c r="AP50" s="92"/>
      <c r="AQ50" s="92"/>
      <c r="AR50" s="92"/>
      <c r="AS50" s="92"/>
    </row>
    <row r="51" ht="20.1" customHeight="1" spans="1:45">
      <c r="A51" s="101" t="s">
        <v>87</v>
      </c>
      <c r="B51" s="101"/>
      <c r="C51" s="101"/>
      <c r="D51" s="101"/>
      <c r="E51" s="101"/>
      <c r="F51" s="101"/>
      <c r="G51" s="101"/>
      <c r="H51" s="7"/>
      <c r="I51" s="52" t="s">
        <v>88</v>
      </c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7"/>
      <c r="AI51" s="7"/>
      <c r="AJ51" s="79" t="s">
        <v>89</v>
      </c>
      <c r="AK51" s="79"/>
      <c r="AL51" s="79"/>
      <c r="AM51" s="79"/>
      <c r="AN51" s="79"/>
      <c r="AO51" s="79"/>
      <c r="AP51" s="79"/>
      <c r="AQ51" s="79"/>
      <c r="AR51" s="79"/>
      <c r="AS51" s="79"/>
    </row>
    <row r="52" ht="28.5" customHeight="1" spans="1:45">
      <c r="A52" s="7"/>
      <c r="B52" s="7"/>
      <c r="C52" s="7"/>
      <c r="D52" s="7"/>
      <c r="E52" s="7"/>
      <c r="F52" s="7"/>
      <c r="G52" s="7"/>
      <c r="H52" s="7"/>
      <c r="I52" s="53" t="s">
        <v>90</v>
      </c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7"/>
      <c r="AI52" s="7"/>
      <c r="AJ52" s="80" t="s">
        <v>91</v>
      </c>
      <c r="AK52" s="80"/>
      <c r="AL52" s="80"/>
      <c r="AM52" s="80"/>
      <c r="AN52" s="80"/>
      <c r="AO52" s="80"/>
      <c r="AP52" s="80"/>
      <c r="AQ52" s="80"/>
      <c r="AR52" s="80"/>
      <c r="AS52" s="80"/>
    </row>
    <row r="53" ht="20.1" customHeight="1" spans="1:45">
      <c r="A53" s="7"/>
      <c r="B53" s="7"/>
      <c r="C53" s="7"/>
      <c r="D53" s="7"/>
      <c r="E53" s="7"/>
      <c r="F53" s="7"/>
      <c r="G53" s="7"/>
      <c r="H53" s="7"/>
      <c r="I53" s="53" t="s">
        <v>92</v>
      </c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7"/>
      <c r="AI53" s="7"/>
      <c r="AJ53" s="81" t="s">
        <v>93</v>
      </c>
      <c r="AK53" s="81"/>
      <c r="AL53" s="81"/>
      <c r="AM53" s="81"/>
      <c r="AN53" s="81"/>
      <c r="AO53" s="81"/>
      <c r="AP53" s="81"/>
      <c r="AQ53" s="81"/>
      <c r="AR53" s="81"/>
      <c r="AS53" s="81"/>
    </row>
    <row r="54" ht="32.25" customHeight="1" spans="1:45">
      <c r="A54" s="7"/>
      <c r="B54" s="7"/>
      <c r="C54" s="7"/>
      <c r="D54" s="7"/>
      <c r="E54" s="7"/>
      <c r="F54" s="7"/>
      <c r="G54" s="7"/>
      <c r="H54" s="7"/>
      <c r="I54" s="54" t="s">
        <v>94</v>
      </c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7"/>
      <c r="AI54" s="7"/>
      <c r="AJ54" s="81" t="s">
        <v>95</v>
      </c>
      <c r="AK54" s="81"/>
      <c r="AL54" s="81"/>
      <c r="AM54" s="81"/>
      <c r="AN54" s="81"/>
      <c r="AO54" s="81"/>
      <c r="AP54" s="81"/>
      <c r="AQ54" s="81"/>
      <c r="AR54" s="81"/>
      <c r="AS54" s="81"/>
    </row>
    <row r="55" ht="30" customHeight="1" spans="1:45">
      <c r="A55" s="7"/>
      <c r="B55" s="7"/>
      <c r="C55" s="7"/>
      <c r="D55" s="7"/>
      <c r="E55" s="7"/>
      <c r="F55" s="7"/>
      <c r="G55" s="7"/>
      <c r="H55" s="7"/>
      <c r="I55" s="55" t="s">
        <v>96</v>
      </c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7"/>
      <c r="AI55" s="7"/>
      <c r="AJ55" s="81" t="s">
        <v>97</v>
      </c>
      <c r="AK55" s="81"/>
      <c r="AL55" s="81"/>
      <c r="AM55" s="81"/>
      <c r="AN55" s="81"/>
      <c r="AO55" s="81"/>
      <c r="AP55" s="81"/>
      <c r="AQ55" s="81"/>
      <c r="AR55" s="81"/>
      <c r="AS55" s="81"/>
    </row>
    <row r="56" ht="24" customHeight="1" spans="1:45">
      <c r="A56" s="7"/>
      <c r="B56" s="7"/>
      <c r="C56" s="7"/>
      <c r="D56" s="7"/>
      <c r="E56" s="7"/>
      <c r="F56" s="7"/>
      <c r="G56" s="7"/>
      <c r="H56" s="7"/>
      <c r="I56" s="101" t="s">
        <v>242</v>
      </c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  <c r="AC56" s="101"/>
      <c r="AD56" s="101"/>
      <c r="AE56" s="101"/>
      <c r="AF56" s="101"/>
      <c r="AG56" s="101"/>
      <c r="AH56" s="7"/>
      <c r="AI56" s="7"/>
      <c r="AJ56" s="82" t="s">
        <v>99</v>
      </c>
      <c r="AK56" s="83"/>
      <c r="AL56" s="83"/>
      <c r="AM56" s="83"/>
      <c r="AN56" s="83"/>
      <c r="AO56" s="83"/>
      <c r="AP56" s="83"/>
      <c r="AQ56" s="83"/>
      <c r="AR56" s="83"/>
      <c r="AS56" s="83"/>
    </row>
    <row r="57" ht="31.5" customHeight="1" spans="8:35">
      <c r="H57" s="7"/>
      <c r="AH57" s="7"/>
      <c r="AI57" s="7"/>
    </row>
    <row r="58" ht="20.1" customHeight="1" spans="8:35">
      <c r="H58" s="7"/>
      <c r="AH58" s="7"/>
      <c r="AI58" s="7"/>
    </row>
    <row r="59" ht="20.1" customHeight="1" spans="8:35">
      <c r="H59" s="7"/>
      <c r="AH59" s="7"/>
      <c r="AI59" s="7"/>
    </row>
    <row r="60" ht="20.1" customHeight="1" spans="8:35">
      <c r="H60" s="7"/>
      <c r="AH60" s="7"/>
      <c r="AI60" s="7"/>
    </row>
    <row r="61" ht="20.1" customHeight="1" spans="8:35">
      <c r="H61" s="7"/>
      <c r="AH61" s="7"/>
      <c r="AI61" s="7"/>
    </row>
  </sheetData>
  <mergeCells count="46">
    <mergeCell ref="A1:G1"/>
    <mergeCell ref="I1:AG1"/>
    <mergeCell ref="AJ1:AS1"/>
    <mergeCell ref="A2:G2"/>
    <mergeCell ref="I2:J2"/>
    <mergeCell ref="M2:N2"/>
    <mergeCell ref="O2:Q2"/>
    <mergeCell ref="R2:AB2"/>
    <mergeCell ref="AC2:AF2"/>
    <mergeCell ref="AJ2:AS2"/>
    <mergeCell ref="I3:J3"/>
    <mergeCell ref="M3:Q3"/>
    <mergeCell ref="R3:U3"/>
    <mergeCell ref="V3:AB3"/>
    <mergeCell ref="AC3:AF3"/>
    <mergeCell ref="AJ3:AS3"/>
    <mergeCell ref="M4:AF4"/>
    <mergeCell ref="AM4:AR4"/>
    <mergeCell ref="AM6:AR6"/>
    <mergeCell ref="A47:G47"/>
    <mergeCell ref="A48:G48"/>
    <mergeCell ref="A49:G49"/>
    <mergeCell ref="A50:G50"/>
    <mergeCell ref="I50:AG50"/>
    <mergeCell ref="A51:G51"/>
    <mergeCell ref="I51:AG51"/>
    <mergeCell ref="AJ51:AS51"/>
    <mergeCell ref="I52:AG52"/>
    <mergeCell ref="AJ52:AS52"/>
    <mergeCell ref="I53:AG53"/>
    <mergeCell ref="AJ53:AS53"/>
    <mergeCell ref="I54:AG54"/>
    <mergeCell ref="AJ54:AS54"/>
    <mergeCell ref="I55:AG55"/>
    <mergeCell ref="AJ55:AS55"/>
    <mergeCell ref="I56:AG56"/>
    <mergeCell ref="AJ56:AS56"/>
    <mergeCell ref="I4:I5"/>
    <mergeCell ref="J4:J5"/>
    <mergeCell ref="K4:K5"/>
    <mergeCell ref="L4:L5"/>
    <mergeCell ref="AG4:AG5"/>
    <mergeCell ref="AJ4:AJ7"/>
    <mergeCell ref="AK4:AK7"/>
    <mergeCell ref="AL4:AL7"/>
    <mergeCell ref="AS4:AS6"/>
  </mergeCells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Z61"/>
  <sheetViews>
    <sheetView topLeftCell="T34" workbookViewId="0">
      <selection activeCell="AQ1" sqref="AQ1:AZ53"/>
    </sheetView>
  </sheetViews>
  <sheetFormatPr defaultColWidth="9" defaultRowHeight="13.5"/>
  <cols>
    <col min="1" max="1" width="5.3716814159292" style="93" customWidth="1"/>
    <col min="2" max="2" width="12.3716814159292" style="93" customWidth="1"/>
    <col min="3" max="3" width="9.75221238938053" style="93" customWidth="1"/>
    <col min="4" max="7" width="11.6283185840708" style="93" customWidth="1"/>
    <col min="8" max="8" width="9" style="93"/>
    <col min="9" max="9" width="4.12389380530973" style="93" customWidth="1"/>
    <col min="10" max="10" width="10.7522123893805" style="93" customWidth="1"/>
    <col min="11" max="11" width="7.12389380530973" style="93" customWidth="1"/>
    <col min="12" max="12" width="7.24778761061947" style="93" customWidth="1"/>
    <col min="13" max="39" width="3.42477876106195" style="93" customWidth="1"/>
    <col min="40" max="42" width="9" style="93"/>
    <col min="43" max="43" width="4.6283185840708" style="93" customWidth="1"/>
    <col min="44" max="44" width="11.7522123893805" style="93" customWidth="1"/>
    <col min="45" max="16384" width="9" style="93"/>
  </cols>
  <sheetData>
    <row r="1" ht="47.25" customHeight="1" spans="1:52">
      <c r="A1" s="94" t="s">
        <v>0</v>
      </c>
      <c r="B1" s="94"/>
      <c r="C1" s="94"/>
      <c r="D1" s="94"/>
      <c r="E1" s="94"/>
      <c r="F1" s="94"/>
      <c r="G1" s="94"/>
      <c r="H1" s="7"/>
      <c r="I1" s="34" t="s">
        <v>1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7"/>
      <c r="AP1" s="7"/>
      <c r="AQ1" s="59" t="s">
        <v>2</v>
      </c>
      <c r="AR1" s="59"/>
      <c r="AS1" s="59"/>
      <c r="AT1" s="59"/>
      <c r="AU1" s="59"/>
      <c r="AV1" s="59"/>
      <c r="AW1" s="59"/>
      <c r="AX1" s="59"/>
      <c r="AY1" s="59"/>
      <c r="AZ1" s="59"/>
    </row>
    <row r="2" ht="14.25" customHeight="1" spans="1:52">
      <c r="A2" s="10" t="s">
        <v>243</v>
      </c>
      <c r="B2" s="11"/>
      <c r="C2" s="11"/>
      <c r="D2" s="11"/>
      <c r="E2" s="11"/>
      <c r="F2" s="11"/>
      <c r="G2" s="12"/>
      <c r="H2" s="7"/>
      <c r="I2" s="35" t="s">
        <v>4</v>
      </c>
      <c r="J2" s="36"/>
      <c r="K2" s="36" t="s">
        <v>5</v>
      </c>
      <c r="L2" s="36" t="s">
        <v>6</v>
      </c>
      <c r="M2" s="36">
        <v>2</v>
      </c>
      <c r="N2" s="36"/>
      <c r="O2" s="36" t="s">
        <v>7</v>
      </c>
      <c r="P2" s="36"/>
      <c r="Q2" s="36"/>
      <c r="R2" s="36" t="s">
        <v>244</v>
      </c>
      <c r="S2" s="36"/>
      <c r="T2" s="36"/>
      <c r="U2" s="36"/>
      <c r="V2" s="36"/>
      <c r="W2" s="36"/>
      <c r="X2" s="36"/>
      <c r="Y2" s="36"/>
      <c r="Z2" s="36"/>
      <c r="AA2" s="36"/>
      <c r="AB2" s="36"/>
      <c r="AC2" s="36" t="s">
        <v>9</v>
      </c>
      <c r="AD2" s="36"/>
      <c r="AE2" s="36"/>
      <c r="AF2" s="36"/>
      <c r="AG2" s="36" t="s">
        <v>9</v>
      </c>
      <c r="AH2" s="36"/>
      <c r="AI2" s="36"/>
      <c r="AJ2" s="36"/>
      <c r="AK2" s="36"/>
      <c r="AL2" s="36"/>
      <c r="AM2" s="36"/>
      <c r="AN2" s="61" t="s">
        <v>245</v>
      </c>
      <c r="AO2" s="7"/>
      <c r="AP2" s="7"/>
      <c r="AQ2" s="62" t="s">
        <v>246</v>
      </c>
      <c r="AR2" s="63"/>
      <c r="AS2" s="63"/>
      <c r="AT2" s="63"/>
      <c r="AU2" s="63"/>
      <c r="AV2" s="63"/>
      <c r="AW2" s="63"/>
      <c r="AX2" s="63"/>
      <c r="AY2" s="63"/>
      <c r="AZ2" s="84"/>
    </row>
    <row r="3" ht="54" customHeight="1" spans="1:52">
      <c r="A3" s="13" t="s">
        <v>12</v>
      </c>
      <c r="B3" s="14" t="s">
        <v>13</v>
      </c>
      <c r="C3" s="14" t="s">
        <v>14</v>
      </c>
      <c r="D3" s="15" t="s">
        <v>15</v>
      </c>
      <c r="E3" s="15" t="s">
        <v>16</v>
      </c>
      <c r="F3" s="15" t="s">
        <v>17</v>
      </c>
      <c r="G3" s="95" t="s">
        <v>18</v>
      </c>
      <c r="H3" s="7"/>
      <c r="I3" s="37" t="s">
        <v>19</v>
      </c>
      <c r="J3" s="38"/>
      <c r="K3" s="38" t="s">
        <v>20</v>
      </c>
      <c r="L3" s="38" t="s">
        <v>21</v>
      </c>
      <c r="M3" s="38" t="s">
        <v>22</v>
      </c>
      <c r="N3" s="38"/>
      <c r="O3" s="38"/>
      <c r="P3" s="38"/>
      <c r="Q3" s="38"/>
      <c r="R3" s="38" t="s">
        <v>23</v>
      </c>
      <c r="S3" s="38"/>
      <c r="T3" s="38"/>
      <c r="U3" s="38"/>
      <c r="V3" s="56" t="s">
        <v>247</v>
      </c>
      <c r="W3" s="56"/>
      <c r="X3" s="56"/>
      <c r="Y3" s="56"/>
      <c r="Z3" s="56"/>
      <c r="AA3" s="56"/>
      <c r="AB3" s="56"/>
      <c r="AC3" s="38" t="s">
        <v>25</v>
      </c>
      <c r="AD3" s="38"/>
      <c r="AE3" s="38"/>
      <c r="AF3" s="38"/>
      <c r="AG3" s="38" t="s">
        <v>25</v>
      </c>
      <c r="AH3" s="38"/>
      <c r="AI3" s="38"/>
      <c r="AJ3" s="38"/>
      <c r="AK3" s="38"/>
      <c r="AL3" s="38"/>
      <c r="AM3" s="38"/>
      <c r="AN3" s="64" t="s">
        <v>248</v>
      </c>
      <c r="AO3" s="7"/>
      <c r="AP3" s="7"/>
      <c r="AQ3" s="65" t="s">
        <v>249</v>
      </c>
      <c r="AR3" s="66"/>
      <c r="AS3" s="66"/>
      <c r="AT3" s="66"/>
      <c r="AU3" s="66"/>
      <c r="AV3" s="66"/>
      <c r="AW3" s="66"/>
      <c r="AX3" s="66"/>
      <c r="AY3" s="66"/>
      <c r="AZ3" s="85"/>
    </row>
    <row r="4" ht="20.1" customHeight="1" spans="1:52">
      <c r="A4" s="17">
        <v>1</v>
      </c>
      <c r="B4" s="18">
        <v>2017140081</v>
      </c>
      <c r="C4" s="123" t="s">
        <v>250</v>
      </c>
      <c r="D4" s="96"/>
      <c r="E4" s="97"/>
      <c r="F4" s="98"/>
      <c r="G4" s="21" t="e">
        <f>#REF!*25%+E4*37.5%+F4*37.5%</f>
        <v>#REF!</v>
      </c>
      <c r="H4" s="7"/>
      <c r="I4" s="39" t="s">
        <v>29</v>
      </c>
      <c r="J4" s="40" t="s">
        <v>13</v>
      </c>
      <c r="K4" s="102" t="s">
        <v>14</v>
      </c>
      <c r="L4" s="103" t="s">
        <v>30</v>
      </c>
      <c r="M4" s="40" t="s">
        <v>31</v>
      </c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67" t="s">
        <v>32</v>
      </c>
      <c r="AO4" s="7"/>
      <c r="AP4" s="7"/>
      <c r="AQ4" s="68" t="s">
        <v>29</v>
      </c>
      <c r="AR4" s="69" t="s">
        <v>13</v>
      </c>
      <c r="AS4" s="69" t="s">
        <v>14</v>
      </c>
      <c r="AT4" s="86" t="s">
        <v>33</v>
      </c>
      <c r="AU4" s="87"/>
      <c r="AV4" s="87"/>
      <c r="AW4" s="87"/>
      <c r="AX4" s="87"/>
      <c r="AY4" s="87"/>
      <c r="AZ4" s="88" t="s">
        <v>34</v>
      </c>
    </row>
    <row r="5" ht="20.1" customHeight="1" spans="1:52">
      <c r="A5" s="17">
        <v>2</v>
      </c>
      <c r="B5" s="18">
        <v>2017140082</v>
      </c>
      <c r="C5" s="123" t="s">
        <v>251</v>
      </c>
      <c r="D5" s="96"/>
      <c r="E5" s="99"/>
      <c r="F5" s="98"/>
      <c r="G5" s="21" t="e">
        <f>#REF!*25%+E5*37.5%+F5*37.5%</f>
        <v>#REF!</v>
      </c>
      <c r="H5" s="7"/>
      <c r="I5" s="39"/>
      <c r="J5" s="40"/>
      <c r="K5" s="102"/>
      <c r="L5" s="104"/>
      <c r="M5" s="43">
        <v>1</v>
      </c>
      <c r="N5" s="43">
        <v>2</v>
      </c>
      <c r="O5" s="43">
        <v>3</v>
      </c>
      <c r="P5" s="43">
        <v>4</v>
      </c>
      <c r="Q5" s="43">
        <v>5</v>
      </c>
      <c r="R5" s="43">
        <v>6</v>
      </c>
      <c r="S5" s="43">
        <v>7</v>
      </c>
      <c r="T5" s="43">
        <v>8</v>
      </c>
      <c r="U5" s="43">
        <v>9</v>
      </c>
      <c r="V5" s="43">
        <v>10</v>
      </c>
      <c r="W5" s="43">
        <v>11</v>
      </c>
      <c r="X5" s="43">
        <v>12</v>
      </c>
      <c r="Y5" s="43">
        <v>13</v>
      </c>
      <c r="Z5" s="43">
        <v>14</v>
      </c>
      <c r="AA5" s="43">
        <v>15</v>
      </c>
      <c r="AB5" s="43">
        <v>16</v>
      </c>
      <c r="AC5" s="43">
        <v>17</v>
      </c>
      <c r="AD5" s="43">
        <v>18</v>
      </c>
      <c r="AE5" s="43">
        <v>19</v>
      </c>
      <c r="AF5" s="43">
        <v>20</v>
      </c>
      <c r="AG5" s="43">
        <v>21</v>
      </c>
      <c r="AH5" s="43">
        <v>22</v>
      </c>
      <c r="AI5" s="43">
        <v>23</v>
      </c>
      <c r="AJ5" s="43">
        <v>24</v>
      </c>
      <c r="AK5" s="43">
        <v>25</v>
      </c>
      <c r="AL5" s="43">
        <v>26</v>
      </c>
      <c r="AM5" s="43">
        <v>27</v>
      </c>
      <c r="AN5" s="70"/>
      <c r="AO5" s="7"/>
      <c r="AP5" s="7"/>
      <c r="AQ5" s="71"/>
      <c r="AR5" s="72"/>
      <c r="AS5" s="72"/>
      <c r="AT5" s="40">
        <v>1</v>
      </c>
      <c r="AU5" s="40">
        <v>2</v>
      </c>
      <c r="AV5" s="40">
        <v>3</v>
      </c>
      <c r="AW5" s="40">
        <v>4</v>
      </c>
      <c r="AX5" s="40">
        <v>5</v>
      </c>
      <c r="AY5" s="40">
        <v>6</v>
      </c>
      <c r="AZ5" s="88"/>
    </row>
    <row r="6" ht="20.1" customHeight="1" spans="1:52">
      <c r="A6" s="17">
        <v>3</v>
      </c>
      <c r="B6" s="18">
        <v>2017140083</v>
      </c>
      <c r="C6" s="123" t="s">
        <v>252</v>
      </c>
      <c r="D6" s="96"/>
      <c r="E6" s="99"/>
      <c r="F6" s="98"/>
      <c r="G6" s="21" t="e">
        <f>#REF!*25%+E6*37.5%+F6*37.5%</f>
        <v>#REF!</v>
      </c>
      <c r="H6" s="7"/>
      <c r="I6" s="17">
        <v>1</v>
      </c>
      <c r="J6" s="18">
        <v>2017140081</v>
      </c>
      <c r="K6" s="123" t="s">
        <v>250</v>
      </c>
      <c r="L6" s="105" t="s">
        <v>253</v>
      </c>
      <c r="M6" s="45"/>
      <c r="N6" s="45"/>
      <c r="O6" s="45"/>
      <c r="P6" s="45"/>
      <c r="Q6" s="45"/>
      <c r="R6" s="45"/>
      <c r="S6" s="45"/>
      <c r="T6" s="45"/>
      <c r="U6" s="45"/>
      <c r="V6" s="57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107"/>
      <c r="AO6" s="7"/>
      <c r="AP6" s="7"/>
      <c r="AQ6" s="71"/>
      <c r="AR6" s="72"/>
      <c r="AS6" s="72"/>
      <c r="AT6" s="86" t="s">
        <v>38</v>
      </c>
      <c r="AU6" s="87"/>
      <c r="AV6" s="87"/>
      <c r="AW6" s="87"/>
      <c r="AX6" s="87"/>
      <c r="AY6" s="87"/>
      <c r="AZ6" s="88"/>
    </row>
    <row r="7" ht="20.1" customHeight="1" spans="1:52">
      <c r="A7" s="17">
        <v>4</v>
      </c>
      <c r="B7" s="18">
        <v>2017140084</v>
      </c>
      <c r="C7" s="123" t="s">
        <v>254</v>
      </c>
      <c r="D7" s="96"/>
      <c r="E7" s="99"/>
      <c r="F7" s="98"/>
      <c r="G7" s="21" t="e">
        <f>#REF!*25%+E7*37.5%+F7*37.5%</f>
        <v>#REF!</v>
      </c>
      <c r="H7" s="7"/>
      <c r="I7" s="17">
        <v>2</v>
      </c>
      <c r="J7" s="18">
        <v>2017140082</v>
      </c>
      <c r="K7" s="123" t="s">
        <v>251</v>
      </c>
      <c r="L7" s="105" t="s">
        <v>253</v>
      </c>
      <c r="M7" s="45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107"/>
      <c r="AO7" s="7"/>
      <c r="AP7" s="7"/>
      <c r="AQ7" s="74"/>
      <c r="AR7" s="75"/>
      <c r="AS7" s="75"/>
      <c r="AT7" s="108"/>
      <c r="AU7" s="108"/>
      <c r="AV7" s="108"/>
      <c r="AW7" s="108"/>
      <c r="AX7" s="108"/>
      <c r="AY7" s="108"/>
      <c r="AZ7" s="88"/>
    </row>
    <row r="8" ht="20.1" customHeight="1" spans="1:52">
      <c r="A8" s="17">
        <v>5</v>
      </c>
      <c r="B8" s="18">
        <v>2017140085</v>
      </c>
      <c r="C8" s="123" t="s">
        <v>255</v>
      </c>
      <c r="D8" s="96"/>
      <c r="E8" s="99"/>
      <c r="F8" s="98"/>
      <c r="G8" s="21" t="e">
        <f>#REF!*25%+E8*37.5%+F8*37.5%</f>
        <v>#REF!</v>
      </c>
      <c r="H8" s="7"/>
      <c r="I8" s="17">
        <v>3</v>
      </c>
      <c r="J8" s="18">
        <v>2017140083</v>
      </c>
      <c r="K8" s="123" t="s">
        <v>252</v>
      </c>
      <c r="L8" s="105" t="s">
        <v>253</v>
      </c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107"/>
      <c r="AO8" s="7"/>
      <c r="AP8" s="7"/>
      <c r="AQ8" s="17">
        <v>1</v>
      </c>
      <c r="AR8" s="18">
        <v>2017140081</v>
      </c>
      <c r="AS8" s="123" t="s">
        <v>250</v>
      </c>
      <c r="AT8" s="45"/>
      <c r="AU8" s="45"/>
      <c r="AV8" s="45"/>
      <c r="AW8" s="45"/>
      <c r="AX8" s="45"/>
      <c r="AY8" s="45"/>
      <c r="AZ8" s="107"/>
    </row>
    <row r="9" ht="20.1" customHeight="1" spans="1:52">
      <c r="A9" s="17">
        <v>6</v>
      </c>
      <c r="B9" s="18">
        <v>2017140086</v>
      </c>
      <c r="C9" s="123" t="s">
        <v>256</v>
      </c>
      <c r="D9" s="96"/>
      <c r="E9" s="99"/>
      <c r="F9" s="98"/>
      <c r="G9" s="21" t="e">
        <f>#REF!*25%+E9*37.5%+F9*37.5%</f>
        <v>#REF!</v>
      </c>
      <c r="H9" s="7"/>
      <c r="I9" s="17">
        <v>4</v>
      </c>
      <c r="J9" s="18">
        <v>2017140084</v>
      </c>
      <c r="K9" s="123" t="s">
        <v>254</v>
      </c>
      <c r="L9" s="105" t="s">
        <v>253</v>
      </c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107"/>
      <c r="AO9" s="7"/>
      <c r="AP9" s="7"/>
      <c r="AQ9" s="17">
        <v>2</v>
      </c>
      <c r="AR9" s="18">
        <v>2017140082</v>
      </c>
      <c r="AS9" s="123" t="s">
        <v>251</v>
      </c>
      <c r="AT9" s="45"/>
      <c r="AU9" s="45"/>
      <c r="AV9" s="45"/>
      <c r="AW9" s="45"/>
      <c r="AX9" s="45"/>
      <c r="AY9" s="45"/>
      <c r="AZ9" s="107"/>
    </row>
    <row r="10" ht="20.1" customHeight="1" spans="1:52">
      <c r="A10" s="17">
        <v>7</v>
      </c>
      <c r="B10" s="18">
        <v>2017140087</v>
      </c>
      <c r="C10" s="123" t="s">
        <v>257</v>
      </c>
      <c r="D10" s="96"/>
      <c r="E10" s="99"/>
      <c r="F10" s="98"/>
      <c r="G10" s="21" t="e">
        <f>#REF!*25%+E10*37.5%+F10*37.5%</f>
        <v>#REF!</v>
      </c>
      <c r="H10" s="7"/>
      <c r="I10" s="17">
        <v>5</v>
      </c>
      <c r="J10" s="18">
        <v>2017140085</v>
      </c>
      <c r="K10" s="123" t="s">
        <v>255</v>
      </c>
      <c r="L10" s="105" t="s">
        <v>253</v>
      </c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107"/>
      <c r="AO10" s="7"/>
      <c r="AP10" s="7"/>
      <c r="AQ10" s="17">
        <v>3</v>
      </c>
      <c r="AR10" s="18">
        <v>2017140083</v>
      </c>
      <c r="AS10" s="123" t="s">
        <v>252</v>
      </c>
      <c r="AT10" s="45"/>
      <c r="AU10" s="45"/>
      <c r="AV10" s="45"/>
      <c r="AW10" s="45"/>
      <c r="AX10" s="45"/>
      <c r="AY10" s="45"/>
      <c r="AZ10" s="107"/>
    </row>
    <row r="11" ht="20.1" customHeight="1" spans="1:52">
      <c r="A11" s="17">
        <v>8</v>
      </c>
      <c r="B11" s="18">
        <v>2017140088</v>
      </c>
      <c r="C11" s="123" t="s">
        <v>258</v>
      </c>
      <c r="D11" s="96"/>
      <c r="E11" s="99"/>
      <c r="F11" s="98"/>
      <c r="G11" s="21" t="e">
        <f>#REF!*25%+E11*37.5%+F11*37.5%</f>
        <v>#REF!</v>
      </c>
      <c r="H11" s="7"/>
      <c r="I11" s="17">
        <v>6</v>
      </c>
      <c r="J11" s="18">
        <v>2017140086</v>
      </c>
      <c r="K11" s="123" t="s">
        <v>256</v>
      </c>
      <c r="L11" s="105" t="s">
        <v>253</v>
      </c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107"/>
      <c r="AO11" s="7"/>
      <c r="AP11" s="7"/>
      <c r="AQ11" s="17">
        <v>4</v>
      </c>
      <c r="AR11" s="18">
        <v>2017140084</v>
      </c>
      <c r="AS11" s="123" t="s">
        <v>254</v>
      </c>
      <c r="AT11" s="45"/>
      <c r="AU11" s="45"/>
      <c r="AV11" s="45"/>
      <c r="AW11" s="45"/>
      <c r="AX11" s="45"/>
      <c r="AY11" s="45"/>
      <c r="AZ11" s="107"/>
    </row>
    <row r="12" ht="20.1" customHeight="1" spans="1:52">
      <c r="A12" s="17">
        <v>9</v>
      </c>
      <c r="B12" s="18">
        <v>2017140089</v>
      </c>
      <c r="C12" s="123" t="s">
        <v>259</v>
      </c>
      <c r="D12" s="96"/>
      <c r="E12" s="99"/>
      <c r="F12" s="98"/>
      <c r="G12" s="21" t="e">
        <f>#REF!*25%+E12*37.5%+F12*37.5%</f>
        <v>#REF!</v>
      </c>
      <c r="H12" s="7"/>
      <c r="I12" s="17">
        <v>7</v>
      </c>
      <c r="J12" s="18">
        <v>2017140087</v>
      </c>
      <c r="K12" s="123" t="s">
        <v>257</v>
      </c>
      <c r="L12" s="105" t="s">
        <v>253</v>
      </c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107"/>
      <c r="AO12" s="7"/>
      <c r="AP12" s="7"/>
      <c r="AQ12" s="17">
        <v>5</v>
      </c>
      <c r="AR12" s="18">
        <v>2017140085</v>
      </c>
      <c r="AS12" s="123" t="s">
        <v>255</v>
      </c>
      <c r="AT12" s="45"/>
      <c r="AU12" s="45"/>
      <c r="AV12" s="45"/>
      <c r="AW12" s="45"/>
      <c r="AX12" s="45"/>
      <c r="AY12" s="45"/>
      <c r="AZ12" s="107"/>
    </row>
    <row r="13" ht="20.1" customHeight="1" spans="1:52">
      <c r="A13" s="17">
        <v>10</v>
      </c>
      <c r="B13" s="18">
        <v>2017140090</v>
      </c>
      <c r="C13" s="123" t="s">
        <v>260</v>
      </c>
      <c r="D13" s="96"/>
      <c r="E13" s="99"/>
      <c r="F13" s="98"/>
      <c r="G13" s="21" t="e">
        <f>#REF!*25%+E13*37.5%+F13*37.5%</f>
        <v>#REF!</v>
      </c>
      <c r="H13" s="7"/>
      <c r="I13" s="17">
        <v>8</v>
      </c>
      <c r="J13" s="18">
        <v>2017140088</v>
      </c>
      <c r="K13" s="123" t="s">
        <v>258</v>
      </c>
      <c r="L13" s="105" t="s">
        <v>253</v>
      </c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107"/>
      <c r="AO13" s="7"/>
      <c r="AP13" s="7"/>
      <c r="AQ13" s="17">
        <v>6</v>
      </c>
      <c r="AR13" s="18">
        <v>2017140086</v>
      </c>
      <c r="AS13" s="123" t="s">
        <v>256</v>
      </c>
      <c r="AT13" s="45"/>
      <c r="AU13" s="45"/>
      <c r="AV13" s="45"/>
      <c r="AW13" s="45"/>
      <c r="AX13" s="45"/>
      <c r="AY13" s="45"/>
      <c r="AZ13" s="107"/>
    </row>
    <row r="14" ht="20.1" customHeight="1" spans="1:52">
      <c r="A14" s="17">
        <v>11</v>
      </c>
      <c r="B14" s="18">
        <v>2017140091</v>
      </c>
      <c r="C14" s="123" t="s">
        <v>261</v>
      </c>
      <c r="D14" s="96"/>
      <c r="E14" s="99"/>
      <c r="F14" s="98"/>
      <c r="G14" s="21" t="e">
        <f>#REF!*25%+E14*37.5%+F14*37.5%</f>
        <v>#REF!</v>
      </c>
      <c r="H14" s="7"/>
      <c r="I14" s="17">
        <v>9</v>
      </c>
      <c r="J14" s="18">
        <v>2017140089</v>
      </c>
      <c r="K14" s="123" t="s">
        <v>259</v>
      </c>
      <c r="L14" s="105" t="s">
        <v>253</v>
      </c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107"/>
      <c r="AO14" s="7"/>
      <c r="AP14" s="7"/>
      <c r="AQ14" s="17">
        <v>7</v>
      </c>
      <c r="AR14" s="18">
        <v>2017140087</v>
      </c>
      <c r="AS14" s="123" t="s">
        <v>257</v>
      </c>
      <c r="AT14" s="45"/>
      <c r="AU14" s="45"/>
      <c r="AV14" s="45"/>
      <c r="AW14" s="45"/>
      <c r="AX14" s="45"/>
      <c r="AY14" s="45"/>
      <c r="AZ14" s="107"/>
    </row>
    <row r="15" ht="20.1" customHeight="1" spans="1:52">
      <c r="A15" s="17">
        <v>12</v>
      </c>
      <c r="B15" s="18">
        <v>2017140092</v>
      </c>
      <c r="C15" s="123" t="s">
        <v>262</v>
      </c>
      <c r="D15" s="96"/>
      <c r="E15" s="99"/>
      <c r="F15" s="98"/>
      <c r="G15" s="21" t="e">
        <f>#REF!*25%+E15*37.5%+F15*37.5%</f>
        <v>#REF!</v>
      </c>
      <c r="H15" s="7"/>
      <c r="I15" s="17">
        <v>10</v>
      </c>
      <c r="J15" s="18">
        <v>2017140090</v>
      </c>
      <c r="K15" s="123" t="s">
        <v>260</v>
      </c>
      <c r="L15" s="105" t="s">
        <v>253</v>
      </c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107"/>
      <c r="AO15" s="7"/>
      <c r="AP15" s="7"/>
      <c r="AQ15" s="17">
        <v>8</v>
      </c>
      <c r="AR15" s="18">
        <v>2017140088</v>
      </c>
      <c r="AS15" s="123" t="s">
        <v>258</v>
      </c>
      <c r="AT15" s="45"/>
      <c r="AU15" s="45"/>
      <c r="AV15" s="45"/>
      <c r="AW15" s="45"/>
      <c r="AX15" s="45"/>
      <c r="AY15" s="45"/>
      <c r="AZ15" s="107"/>
    </row>
    <row r="16" ht="20.1" customHeight="1" spans="1:52">
      <c r="A16" s="17">
        <v>13</v>
      </c>
      <c r="B16" s="18">
        <v>2017140093</v>
      </c>
      <c r="C16" s="123" t="s">
        <v>263</v>
      </c>
      <c r="D16" s="96"/>
      <c r="E16" s="99"/>
      <c r="F16" s="98"/>
      <c r="G16" s="21" t="e">
        <f>#REF!*25%+E16*37.5%+F16*37.5%</f>
        <v>#REF!</v>
      </c>
      <c r="H16" s="7"/>
      <c r="I16" s="17">
        <v>11</v>
      </c>
      <c r="J16" s="18">
        <v>2017140091</v>
      </c>
      <c r="K16" s="123" t="s">
        <v>261</v>
      </c>
      <c r="L16" s="105" t="s">
        <v>253</v>
      </c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107"/>
      <c r="AO16" s="7"/>
      <c r="AP16" s="7"/>
      <c r="AQ16" s="17">
        <v>9</v>
      </c>
      <c r="AR16" s="18">
        <v>2017140089</v>
      </c>
      <c r="AS16" s="123" t="s">
        <v>259</v>
      </c>
      <c r="AT16" s="45"/>
      <c r="AU16" s="45"/>
      <c r="AV16" s="45"/>
      <c r="AW16" s="45"/>
      <c r="AX16" s="45"/>
      <c r="AY16" s="45"/>
      <c r="AZ16" s="107"/>
    </row>
    <row r="17" ht="20.1" customHeight="1" spans="1:52">
      <c r="A17" s="17">
        <v>14</v>
      </c>
      <c r="B17" s="18">
        <v>2017140094</v>
      </c>
      <c r="C17" s="123" t="s">
        <v>264</v>
      </c>
      <c r="D17" s="96"/>
      <c r="E17" s="99"/>
      <c r="F17" s="98"/>
      <c r="G17" s="21" t="e">
        <f>#REF!*25%+E17*37.5%+F17*37.5%</f>
        <v>#REF!</v>
      </c>
      <c r="H17" s="7"/>
      <c r="I17" s="17">
        <v>12</v>
      </c>
      <c r="J17" s="18">
        <v>2017140092</v>
      </c>
      <c r="K17" s="123" t="s">
        <v>262</v>
      </c>
      <c r="L17" s="105" t="s">
        <v>253</v>
      </c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107"/>
      <c r="AO17" s="7"/>
      <c r="AP17" s="7"/>
      <c r="AQ17" s="17">
        <v>10</v>
      </c>
      <c r="AR17" s="18">
        <v>2017140090</v>
      </c>
      <c r="AS17" s="123" t="s">
        <v>260</v>
      </c>
      <c r="AT17" s="45"/>
      <c r="AU17" s="45"/>
      <c r="AV17" s="45"/>
      <c r="AW17" s="45"/>
      <c r="AX17" s="45"/>
      <c r="AY17" s="45"/>
      <c r="AZ17" s="107"/>
    </row>
    <row r="18" ht="20.1" customHeight="1" spans="1:52">
      <c r="A18" s="17">
        <v>15</v>
      </c>
      <c r="B18" s="18">
        <v>2017140095</v>
      </c>
      <c r="C18" s="123" t="s">
        <v>265</v>
      </c>
      <c r="D18" s="96"/>
      <c r="E18" s="99"/>
      <c r="F18" s="98"/>
      <c r="G18" s="21" t="e">
        <f>#REF!*25%+E18*37.5%+F18*37.5%</f>
        <v>#REF!</v>
      </c>
      <c r="H18" s="7"/>
      <c r="I18" s="17">
        <v>13</v>
      </c>
      <c r="J18" s="18">
        <v>2017140093</v>
      </c>
      <c r="K18" s="123" t="s">
        <v>263</v>
      </c>
      <c r="L18" s="105" t="s">
        <v>253</v>
      </c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107"/>
      <c r="AO18" s="7"/>
      <c r="AP18" s="7"/>
      <c r="AQ18" s="17">
        <v>11</v>
      </c>
      <c r="AR18" s="18">
        <v>2017140091</v>
      </c>
      <c r="AS18" s="123" t="s">
        <v>261</v>
      </c>
      <c r="AT18" s="45"/>
      <c r="AU18" s="45"/>
      <c r="AV18" s="45"/>
      <c r="AW18" s="45"/>
      <c r="AX18" s="45"/>
      <c r="AY18" s="45"/>
      <c r="AZ18" s="107"/>
    </row>
    <row r="19" ht="20.1" customHeight="1" spans="1:52">
      <c r="A19" s="17">
        <v>16</v>
      </c>
      <c r="B19" s="18">
        <v>2017140096</v>
      </c>
      <c r="C19" s="123" t="s">
        <v>266</v>
      </c>
      <c r="D19" s="96"/>
      <c r="E19" s="99"/>
      <c r="F19" s="98"/>
      <c r="G19" s="21" t="e">
        <f>#REF!*25%+E19*37.5%+F19*37.5%</f>
        <v>#REF!</v>
      </c>
      <c r="H19" s="7"/>
      <c r="I19" s="17">
        <v>14</v>
      </c>
      <c r="J19" s="18">
        <v>2017140094</v>
      </c>
      <c r="K19" s="123" t="s">
        <v>264</v>
      </c>
      <c r="L19" s="105" t="s">
        <v>253</v>
      </c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57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107"/>
      <c r="AO19" s="7"/>
      <c r="AP19" s="7"/>
      <c r="AQ19" s="17">
        <v>12</v>
      </c>
      <c r="AR19" s="18">
        <v>2017140092</v>
      </c>
      <c r="AS19" s="123" t="s">
        <v>262</v>
      </c>
      <c r="AT19" s="45"/>
      <c r="AU19" s="45"/>
      <c r="AV19" s="45"/>
      <c r="AW19" s="45"/>
      <c r="AX19" s="45"/>
      <c r="AY19" s="45"/>
      <c r="AZ19" s="107"/>
    </row>
    <row r="20" ht="20.1" customHeight="1" spans="1:52">
      <c r="A20" s="17">
        <v>17</v>
      </c>
      <c r="B20" s="18">
        <v>2017140097</v>
      </c>
      <c r="C20" s="123" t="s">
        <v>267</v>
      </c>
      <c r="D20" s="96"/>
      <c r="E20" s="99"/>
      <c r="F20" s="98"/>
      <c r="G20" s="21" t="e">
        <f>#REF!*25%+E20*37.5%+F20*37.5%</f>
        <v>#REF!</v>
      </c>
      <c r="H20" s="7"/>
      <c r="I20" s="17">
        <v>15</v>
      </c>
      <c r="J20" s="18">
        <v>2017140095</v>
      </c>
      <c r="K20" s="123" t="s">
        <v>265</v>
      </c>
      <c r="L20" s="105" t="s">
        <v>253</v>
      </c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107"/>
      <c r="AO20" s="7"/>
      <c r="AP20" s="7"/>
      <c r="AQ20" s="17">
        <v>13</v>
      </c>
      <c r="AR20" s="18">
        <v>2017140093</v>
      </c>
      <c r="AS20" s="123" t="s">
        <v>263</v>
      </c>
      <c r="AT20" s="45"/>
      <c r="AU20" s="45"/>
      <c r="AV20" s="45"/>
      <c r="AW20" s="45"/>
      <c r="AX20" s="45"/>
      <c r="AY20" s="45"/>
      <c r="AZ20" s="107"/>
    </row>
    <row r="21" ht="20.1" customHeight="1" spans="1:52">
      <c r="A21" s="17">
        <v>18</v>
      </c>
      <c r="B21" s="18">
        <v>2017140099</v>
      </c>
      <c r="C21" s="123" t="s">
        <v>268</v>
      </c>
      <c r="D21" s="96"/>
      <c r="E21" s="99"/>
      <c r="F21" s="98"/>
      <c r="G21" s="21" t="e">
        <f>#REF!*25%+E21*37.5%+F21*37.5%</f>
        <v>#REF!</v>
      </c>
      <c r="H21" s="7"/>
      <c r="I21" s="17">
        <v>16</v>
      </c>
      <c r="J21" s="18">
        <v>2017140096</v>
      </c>
      <c r="K21" s="123" t="s">
        <v>266</v>
      </c>
      <c r="L21" s="105" t="s">
        <v>253</v>
      </c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107"/>
      <c r="AO21" s="7"/>
      <c r="AP21" s="7"/>
      <c r="AQ21" s="17">
        <v>14</v>
      </c>
      <c r="AR21" s="18">
        <v>2017140094</v>
      </c>
      <c r="AS21" s="123" t="s">
        <v>264</v>
      </c>
      <c r="AT21" s="45"/>
      <c r="AU21" s="45"/>
      <c r="AV21" s="45"/>
      <c r="AW21" s="45"/>
      <c r="AX21" s="45"/>
      <c r="AY21" s="45"/>
      <c r="AZ21" s="107"/>
    </row>
    <row r="22" ht="20.1" customHeight="1" spans="1:52">
      <c r="A22" s="17">
        <v>19</v>
      </c>
      <c r="B22" s="18">
        <v>2017140100</v>
      </c>
      <c r="C22" s="123" t="s">
        <v>269</v>
      </c>
      <c r="D22" s="96"/>
      <c r="E22" s="99"/>
      <c r="F22" s="98"/>
      <c r="G22" s="21" t="e">
        <f>#REF!*25%+E22*37.5%+F22*37.5%</f>
        <v>#REF!</v>
      </c>
      <c r="H22" s="7"/>
      <c r="I22" s="17">
        <v>17</v>
      </c>
      <c r="J22" s="18">
        <v>2017140097</v>
      </c>
      <c r="K22" s="123" t="s">
        <v>267</v>
      </c>
      <c r="L22" s="105" t="s">
        <v>253</v>
      </c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107"/>
      <c r="AO22" s="7"/>
      <c r="AP22" s="7"/>
      <c r="AQ22" s="17">
        <v>15</v>
      </c>
      <c r="AR22" s="18">
        <v>2017140095</v>
      </c>
      <c r="AS22" s="123" t="s">
        <v>265</v>
      </c>
      <c r="AT22" s="45"/>
      <c r="AU22" s="45"/>
      <c r="AV22" s="45"/>
      <c r="AW22" s="45"/>
      <c r="AX22" s="45"/>
      <c r="AY22" s="45"/>
      <c r="AZ22" s="107"/>
    </row>
    <row r="23" ht="20.1" customHeight="1" spans="1:52">
      <c r="A23" s="17">
        <v>20</v>
      </c>
      <c r="B23" s="18">
        <v>2017140101</v>
      </c>
      <c r="C23" s="123" t="s">
        <v>270</v>
      </c>
      <c r="D23" s="96"/>
      <c r="E23" s="99"/>
      <c r="F23" s="98"/>
      <c r="G23" s="21" t="e">
        <f>#REF!*25%+E23*37.5%+F23*37.5%</f>
        <v>#REF!</v>
      </c>
      <c r="H23" s="7"/>
      <c r="I23" s="17">
        <v>18</v>
      </c>
      <c r="J23" s="18">
        <v>2017140099</v>
      </c>
      <c r="K23" s="123" t="s">
        <v>268</v>
      </c>
      <c r="L23" s="105" t="s">
        <v>253</v>
      </c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107"/>
      <c r="AO23" s="7"/>
      <c r="AP23" s="7"/>
      <c r="AQ23" s="17">
        <v>16</v>
      </c>
      <c r="AR23" s="18">
        <v>2017140096</v>
      </c>
      <c r="AS23" s="123" t="s">
        <v>266</v>
      </c>
      <c r="AT23" s="45"/>
      <c r="AU23" s="45"/>
      <c r="AV23" s="45"/>
      <c r="AW23" s="45"/>
      <c r="AX23" s="45"/>
      <c r="AY23" s="45"/>
      <c r="AZ23" s="107"/>
    </row>
    <row r="24" ht="20.1" customHeight="1" spans="1:52">
      <c r="A24" s="17">
        <v>21</v>
      </c>
      <c r="B24" s="18">
        <v>2017140102</v>
      </c>
      <c r="C24" s="123" t="s">
        <v>271</v>
      </c>
      <c r="D24" s="96"/>
      <c r="E24" s="99"/>
      <c r="F24" s="98"/>
      <c r="G24" s="21" t="e">
        <f>#REF!*25%+E24*37.5%+F24*37.5%</f>
        <v>#REF!</v>
      </c>
      <c r="H24" s="7"/>
      <c r="I24" s="17">
        <v>19</v>
      </c>
      <c r="J24" s="18">
        <v>2017140100</v>
      </c>
      <c r="K24" s="123" t="s">
        <v>269</v>
      </c>
      <c r="L24" s="105" t="s">
        <v>253</v>
      </c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107"/>
      <c r="AO24" s="7"/>
      <c r="AP24" s="7"/>
      <c r="AQ24" s="17">
        <v>17</v>
      </c>
      <c r="AR24" s="18">
        <v>2017140097</v>
      </c>
      <c r="AS24" s="123" t="s">
        <v>267</v>
      </c>
      <c r="AT24" s="45"/>
      <c r="AU24" s="45"/>
      <c r="AV24" s="45"/>
      <c r="AW24" s="45"/>
      <c r="AX24" s="45"/>
      <c r="AY24" s="45"/>
      <c r="AZ24" s="107"/>
    </row>
    <row r="25" ht="20.1" customHeight="1" spans="1:52">
      <c r="A25" s="17">
        <v>22</v>
      </c>
      <c r="B25" s="18">
        <v>2017140103</v>
      </c>
      <c r="C25" s="123" t="s">
        <v>272</v>
      </c>
      <c r="D25" s="96"/>
      <c r="E25" s="99"/>
      <c r="F25" s="98"/>
      <c r="G25" s="21" t="e">
        <f>#REF!*25%+E25*37.5%+F25*37.5%</f>
        <v>#REF!</v>
      </c>
      <c r="H25" s="7"/>
      <c r="I25" s="17">
        <v>20</v>
      </c>
      <c r="J25" s="18">
        <v>2017140101</v>
      </c>
      <c r="K25" s="123" t="s">
        <v>270</v>
      </c>
      <c r="L25" s="105" t="s">
        <v>253</v>
      </c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107"/>
      <c r="AO25" s="7"/>
      <c r="AP25" s="7"/>
      <c r="AQ25" s="17">
        <v>18</v>
      </c>
      <c r="AR25" s="18">
        <v>2017140099</v>
      </c>
      <c r="AS25" s="123" t="s">
        <v>268</v>
      </c>
      <c r="AT25" s="45"/>
      <c r="AU25" s="45"/>
      <c r="AV25" s="45"/>
      <c r="AW25" s="45"/>
      <c r="AX25" s="45"/>
      <c r="AY25" s="45"/>
      <c r="AZ25" s="107"/>
    </row>
    <row r="26" ht="20.1" customHeight="1" spans="1:52">
      <c r="A26" s="17">
        <v>23</v>
      </c>
      <c r="B26" s="18">
        <v>2017140104</v>
      </c>
      <c r="C26" s="123" t="s">
        <v>273</v>
      </c>
      <c r="D26" s="96"/>
      <c r="E26" s="99"/>
      <c r="F26" s="98"/>
      <c r="G26" s="21" t="e">
        <f>#REF!*25%+E26*37.5%+F26*37.5%</f>
        <v>#REF!</v>
      </c>
      <c r="H26" s="7"/>
      <c r="I26" s="17">
        <v>21</v>
      </c>
      <c r="J26" s="18">
        <v>2017140102</v>
      </c>
      <c r="K26" s="123" t="s">
        <v>271</v>
      </c>
      <c r="L26" s="105" t="s">
        <v>253</v>
      </c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107"/>
      <c r="AO26" s="7"/>
      <c r="AP26" s="7"/>
      <c r="AQ26" s="17">
        <v>19</v>
      </c>
      <c r="AR26" s="18">
        <v>2017140100</v>
      </c>
      <c r="AS26" s="123" t="s">
        <v>269</v>
      </c>
      <c r="AT26" s="45"/>
      <c r="AU26" s="45"/>
      <c r="AV26" s="45"/>
      <c r="AW26" s="45"/>
      <c r="AX26" s="45"/>
      <c r="AY26" s="45"/>
      <c r="AZ26" s="107"/>
    </row>
    <row r="27" ht="20.1" customHeight="1" spans="1:52">
      <c r="A27" s="17">
        <v>24</v>
      </c>
      <c r="B27" s="18">
        <v>2017140105</v>
      </c>
      <c r="C27" s="123" t="s">
        <v>274</v>
      </c>
      <c r="D27" s="96"/>
      <c r="E27" s="99"/>
      <c r="F27" s="98"/>
      <c r="G27" s="21" t="e">
        <f>#REF!*25%+E27*37.5%+F27*37.5%</f>
        <v>#REF!</v>
      </c>
      <c r="H27" s="7"/>
      <c r="I27" s="17">
        <v>22</v>
      </c>
      <c r="J27" s="18">
        <v>2017140103</v>
      </c>
      <c r="K27" s="123" t="s">
        <v>272</v>
      </c>
      <c r="L27" s="105" t="s">
        <v>253</v>
      </c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107"/>
      <c r="AO27" s="7"/>
      <c r="AP27" s="7"/>
      <c r="AQ27" s="17">
        <v>20</v>
      </c>
      <c r="AR27" s="18">
        <v>2017140101</v>
      </c>
      <c r="AS27" s="123" t="s">
        <v>270</v>
      </c>
      <c r="AT27" s="45"/>
      <c r="AU27" s="45"/>
      <c r="AV27" s="45"/>
      <c r="AW27" s="45"/>
      <c r="AX27" s="45"/>
      <c r="AY27" s="45"/>
      <c r="AZ27" s="107"/>
    </row>
    <row r="28" ht="20.1" customHeight="1" spans="1:52">
      <c r="A28" s="17">
        <v>25</v>
      </c>
      <c r="B28" s="18">
        <v>2017140106</v>
      </c>
      <c r="C28" s="123" t="s">
        <v>275</v>
      </c>
      <c r="D28" s="96"/>
      <c r="E28" s="99"/>
      <c r="F28" s="98"/>
      <c r="G28" s="21" t="e">
        <f>#REF!*25%+E28*37.5%+F28*37.5%</f>
        <v>#REF!</v>
      </c>
      <c r="H28" s="7"/>
      <c r="I28" s="17">
        <v>23</v>
      </c>
      <c r="J28" s="18">
        <v>2017140104</v>
      </c>
      <c r="K28" s="123" t="s">
        <v>273</v>
      </c>
      <c r="L28" s="105" t="s">
        <v>253</v>
      </c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107"/>
      <c r="AO28" s="7"/>
      <c r="AP28" s="7"/>
      <c r="AQ28" s="17">
        <v>21</v>
      </c>
      <c r="AR28" s="18">
        <v>2017140102</v>
      </c>
      <c r="AS28" s="123" t="s">
        <v>271</v>
      </c>
      <c r="AT28" s="45"/>
      <c r="AU28" s="45"/>
      <c r="AV28" s="45"/>
      <c r="AW28" s="45"/>
      <c r="AX28" s="45"/>
      <c r="AY28" s="45"/>
      <c r="AZ28" s="107"/>
    </row>
    <row r="29" ht="20.1" customHeight="1" spans="1:52">
      <c r="A29" s="17">
        <v>26</v>
      </c>
      <c r="B29" s="18">
        <v>2017140107</v>
      </c>
      <c r="C29" s="123" t="s">
        <v>276</v>
      </c>
      <c r="D29" s="96"/>
      <c r="E29" s="99"/>
      <c r="F29" s="98"/>
      <c r="G29" s="21" t="e">
        <f>#REF!*25%+E29*37.5%+F29*37.5%</f>
        <v>#REF!</v>
      </c>
      <c r="H29" s="7"/>
      <c r="I29" s="17">
        <v>24</v>
      </c>
      <c r="J29" s="18">
        <v>2017140105</v>
      </c>
      <c r="K29" s="123" t="s">
        <v>274</v>
      </c>
      <c r="L29" s="105" t="s">
        <v>253</v>
      </c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107"/>
      <c r="AO29" s="7"/>
      <c r="AP29" s="7"/>
      <c r="AQ29" s="17">
        <v>22</v>
      </c>
      <c r="AR29" s="18">
        <v>2017140103</v>
      </c>
      <c r="AS29" s="123" t="s">
        <v>272</v>
      </c>
      <c r="AT29" s="45"/>
      <c r="AU29" s="45"/>
      <c r="AV29" s="45"/>
      <c r="AW29" s="45"/>
      <c r="AX29" s="45"/>
      <c r="AY29" s="45"/>
      <c r="AZ29" s="107"/>
    </row>
    <row r="30" ht="20.1" customHeight="1" spans="1:52">
      <c r="A30" s="17">
        <v>27</v>
      </c>
      <c r="B30" s="18">
        <v>2017140108</v>
      </c>
      <c r="C30" s="123" t="s">
        <v>277</v>
      </c>
      <c r="D30" s="96"/>
      <c r="E30" s="99"/>
      <c r="F30" s="98"/>
      <c r="G30" s="21" t="e">
        <f>#REF!*25%+E30*37.5%+F30*37.5%</f>
        <v>#REF!</v>
      </c>
      <c r="H30" s="7"/>
      <c r="I30" s="17">
        <v>25</v>
      </c>
      <c r="J30" s="18">
        <v>2017140106</v>
      </c>
      <c r="K30" s="123" t="s">
        <v>275</v>
      </c>
      <c r="L30" s="105" t="s">
        <v>253</v>
      </c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107"/>
      <c r="AO30" s="7"/>
      <c r="AP30" s="7"/>
      <c r="AQ30" s="17">
        <v>23</v>
      </c>
      <c r="AR30" s="18">
        <v>2017140104</v>
      </c>
      <c r="AS30" s="123" t="s">
        <v>273</v>
      </c>
      <c r="AT30" s="45"/>
      <c r="AU30" s="45"/>
      <c r="AV30" s="45"/>
      <c r="AW30" s="45"/>
      <c r="AX30" s="45"/>
      <c r="AY30" s="45"/>
      <c r="AZ30" s="107"/>
    </row>
    <row r="31" ht="20.1" customHeight="1" spans="1:52">
      <c r="A31" s="17">
        <v>28</v>
      </c>
      <c r="B31" s="18">
        <v>2017140109</v>
      </c>
      <c r="C31" s="123" t="s">
        <v>278</v>
      </c>
      <c r="D31" s="96"/>
      <c r="E31" s="99"/>
      <c r="F31" s="98"/>
      <c r="G31" s="21" t="e">
        <f>#REF!*25%+E31*37.5%+F31*37.5%</f>
        <v>#REF!</v>
      </c>
      <c r="H31" s="7"/>
      <c r="I31" s="17">
        <v>26</v>
      </c>
      <c r="J31" s="18">
        <v>2017140107</v>
      </c>
      <c r="K31" s="123" t="s">
        <v>276</v>
      </c>
      <c r="L31" s="105" t="s">
        <v>253</v>
      </c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107"/>
      <c r="AO31" s="7"/>
      <c r="AP31" s="7"/>
      <c r="AQ31" s="17">
        <v>24</v>
      </c>
      <c r="AR31" s="18">
        <v>2017140105</v>
      </c>
      <c r="AS31" s="123" t="s">
        <v>274</v>
      </c>
      <c r="AT31" s="45"/>
      <c r="AU31" s="45"/>
      <c r="AV31" s="45"/>
      <c r="AW31" s="45"/>
      <c r="AX31" s="45"/>
      <c r="AY31" s="45"/>
      <c r="AZ31" s="107"/>
    </row>
    <row r="32" ht="20.1" customHeight="1" spans="1:52">
      <c r="A32" s="17">
        <v>29</v>
      </c>
      <c r="B32" s="18">
        <v>2017140110</v>
      </c>
      <c r="C32" s="123" t="s">
        <v>279</v>
      </c>
      <c r="D32" s="96"/>
      <c r="E32" s="99"/>
      <c r="F32" s="98"/>
      <c r="G32" s="21" t="e">
        <f>#REF!*25%+E32*37.5%+F32*37.5%</f>
        <v>#REF!</v>
      </c>
      <c r="H32" s="7"/>
      <c r="I32" s="17">
        <v>27</v>
      </c>
      <c r="J32" s="18">
        <v>2017140108</v>
      </c>
      <c r="K32" s="123" t="s">
        <v>277</v>
      </c>
      <c r="L32" s="105" t="s">
        <v>253</v>
      </c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107"/>
      <c r="AO32" s="7"/>
      <c r="AP32" s="7"/>
      <c r="AQ32" s="17">
        <v>25</v>
      </c>
      <c r="AR32" s="18">
        <v>2017140106</v>
      </c>
      <c r="AS32" s="123" t="s">
        <v>275</v>
      </c>
      <c r="AT32" s="45"/>
      <c r="AU32" s="45"/>
      <c r="AV32" s="45"/>
      <c r="AW32" s="45"/>
      <c r="AX32" s="45"/>
      <c r="AY32" s="45"/>
      <c r="AZ32" s="107"/>
    </row>
    <row r="33" ht="20.1" customHeight="1" spans="1:52">
      <c r="A33" s="17">
        <v>30</v>
      </c>
      <c r="B33" s="18">
        <v>2017140111</v>
      </c>
      <c r="C33" s="123" t="s">
        <v>280</v>
      </c>
      <c r="D33" s="96"/>
      <c r="E33" s="99"/>
      <c r="F33" s="98"/>
      <c r="G33" s="21" t="e">
        <f>#REF!*25%+E33*37.5%+F33*37.5%</f>
        <v>#REF!</v>
      </c>
      <c r="H33" s="7"/>
      <c r="I33" s="17">
        <v>28</v>
      </c>
      <c r="J33" s="18">
        <v>2017140109</v>
      </c>
      <c r="K33" s="123" t="s">
        <v>278</v>
      </c>
      <c r="L33" s="105" t="s">
        <v>253</v>
      </c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107"/>
      <c r="AO33" s="7"/>
      <c r="AP33" s="7"/>
      <c r="AQ33" s="17">
        <v>26</v>
      </c>
      <c r="AR33" s="18">
        <v>2017140107</v>
      </c>
      <c r="AS33" s="123" t="s">
        <v>276</v>
      </c>
      <c r="AT33" s="45"/>
      <c r="AU33" s="45"/>
      <c r="AV33" s="45"/>
      <c r="AW33" s="45"/>
      <c r="AX33" s="45"/>
      <c r="AY33" s="45"/>
      <c r="AZ33" s="107"/>
    </row>
    <row r="34" ht="20.1" customHeight="1" spans="1:52">
      <c r="A34" s="17">
        <v>31</v>
      </c>
      <c r="B34" s="18">
        <v>2017140112</v>
      </c>
      <c r="C34" s="123" t="s">
        <v>281</v>
      </c>
      <c r="D34" s="96"/>
      <c r="E34" s="99"/>
      <c r="F34" s="98"/>
      <c r="G34" s="21" t="e">
        <f>#REF!*25%+E34*37.5%+F34*37.5%</f>
        <v>#REF!</v>
      </c>
      <c r="H34" s="7"/>
      <c r="I34" s="17">
        <v>29</v>
      </c>
      <c r="J34" s="18">
        <v>2017140110</v>
      </c>
      <c r="K34" s="123" t="s">
        <v>279</v>
      </c>
      <c r="L34" s="105" t="s">
        <v>253</v>
      </c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107"/>
      <c r="AO34" s="7"/>
      <c r="AP34" s="7"/>
      <c r="AQ34" s="17">
        <v>27</v>
      </c>
      <c r="AR34" s="18">
        <v>2017140108</v>
      </c>
      <c r="AS34" s="123" t="s">
        <v>277</v>
      </c>
      <c r="AT34" s="45"/>
      <c r="AU34" s="45"/>
      <c r="AV34" s="45"/>
      <c r="AW34" s="45"/>
      <c r="AX34" s="45"/>
      <c r="AY34" s="45"/>
      <c r="AZ34" s="107"/>
    </row>
    <row r="35" ht="20.1" customHeight="1" spans="1:52">
      <c r="A35" s="17">
        <v>32</v>
      </c>
      <c r="B35" s="18">
        <v>2017140113</v>
      </c>
      <c r="C35" s="123" t="s">
        <v>282</v>
      </c>
      <c r="D35" s="96"/>
      <c r="E35" s="99"/>
      <c r="F35" s="98"/>
      <c r="G35" s="21" t="e">
        <f>#REF!*25%+E35*37.5%+F35*37.5%</f>
        <v>#REF!</v>
      </c>
      <c r="H35" s="7"/>
      <c r="I35" s="17">
        <v>30</v>
      </c>
      <c r="J35" s="18">
        <v>2017140111</v>
      </c>
      <c r="K35" s="123" t="s">
        <v>280</v>
      </c>
      <c r="L35" s="105" t="s">
        <v>253</v>
      </c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107"/>
      <c r="AO35" s="7"/>
      <c r="AP35" s="7"/>
      <c r="AQ35" s="17">
        <v>28</v>
      </c>
      <c r="AR35" s="18">
        <v>2017140109</v>
      </c>
      <c r="AS35" s="123" t="s">
        <v>278</v>
      </c>
      <c r="AT35" s="45"/>
      <c r="AU35" s="45"/>
      <c r="AV35" s="45"/>
      <c r="AW35" s="45"/>
      <c r="AX35" s="45"/>
      <c r="AY35" s="45"/>
      <c r="AZ35" s="107"/>
    </row>
    <row r="36" ht="20.1" customHeight="1" spans="1:52">
      <c r="A36" s="17">
        <v>33</v>
      </c>
      <c r="B36" s="18">
        <v>2017140114</v>
      </c>
      <c r="C36" s="123" t="s">
        <v>283</v>
      </c>
      <c r="D36" s="96"/>
      <c r="E36" s="99"/>
      <c r="F36" s="98"/>
      <c r="G36" s="21" t="e">
        <f>#REF!*25%+E36*37.5%+F36*37.5%</f>
        <v>#REF!</v>
      </c>
      <c r="H36" s="7"/>
      <c r="I36" s="17">
        <v>31</v>
      </c>
      <c r="J36" s="18">
        <v>2017140112</v>
      </c>
      <c r="K36" s="123" t="s">
        <v>281</v>
      </c>
      <c r="L36" s="105" t="s">
        <v>253</v>
      </c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107"/>
      <c r="AO36" s="7"/>
      <c r="AP36" s="7"/>
      <c r="AQ36" s="17">
        <v>29</v>
      </c>
      <c r="AR36" s="18">
        <v>2017140110</v>
      </c>
      <c r="AS36" s="123" t="s">
        <v>279</v>
      </c>
      <c r="AT36" s="45"/>
      <c r="AU36" s="45"/>
      <c r="AV36" s="45"/>
      <c r="AW36" s="45"/>
      <c r="AX36" s="45"/>
      <c r="AY36" s="45"/>
      <c r="AZ36" s="107"/>
    </row>
    <row r="37" ht="20.1" customHeight="1" spans="1:52">
      <c r="A37" s="17">
        <v>34</v>
      </c>
      <c r="B37" s="18">
        <v>2017140115</v>
      </c>
      <c r="C37" s="123" t="s">
        <v>284</v>
      </c>
      <c r="D37" s="96"/>
      <c r="E37" s="99"/>
      <c r="F37" s="98"/>
      <c r="G37" s="21" t="e">
        <f>#REF!*25%+E37*37.5%+F37*37.5%</f>
        <v>#REF!</v>
      </c>
      <c r="H37" s="7"/>
      <c r="I37" s="17">
        <v>32</v>
      </c>
      <c r="J37" s="18">
        <v>2017140113</v>
      </c>
      <c r="K37" s="123" t="s">
        <v>282</v>
      </c>
      <c r="L37" s="105" t="s">
        <v>253</v>
      </c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107"/>
      <c r="AO37" s="7"/>
      <c r="AP37" s="7"/>
      <c r="AQ37" s="17">
        <v>30</v>
      </c>
      <c r="AR37" s="18">
        <v>2017140111</v>
      </c>
      <c r="AS37" s="123" t="s">
        <v>280</v>
      </c>
      <c r="AT37" s="45"/>
      <c r="AU37" s="45"/>
      <c r="AV37" s="45"/>
      <c r="AW37" s="45"/>
      <c r="AX37" s="45"/>
      <c r="AY37" s="45"/>
      <c r="AZ37" s="107"/>
    </row>
    <row r="38" ht="20.1" customHeight="1" spans="1:52">
      <c r="A38" s="17">
        <v>35</v>
      </c>
      <c r="B38" s="18">
        <v>2017140116</v>
      </c>
      <c r="C38" s="123" t="s">
        <v>285</v>
      </c>
      <c r="D38" s="96"/>
      <c r="E38" s="99"/>
      <c r="F38" s="98"/>
      <c r="G38" s="21" t="e">
        <f>#REF!*25%+E38*37.5%+F38*37.5%</f>
        <v>#REF!</v>
      </c>
      <c r="H38" s="7"/>
      <c r="I38" s="17">
        <v>33</v>
      </c>
      <c r="J38" s="18">
        <v>2017140114</v>
      </c>
      <c r="K38" s="123" t="s">
        <v>283</v>
      </c>
      <c r="L38" s="105" t="s">
        <v>253</v>
      </c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107"/>
      <c r="AO38" s="7"/>
      <c r="AP38" s="7"/>
      <c r="AQ38" s="17">
        <v>31</v>
      </c>
      <c r="AR38" s="18">
        <v>2017140112</v>
      </c>
      <c r="AS38" s="123" t="s">
        <v>281</v>
      </c>
      <c r="AT38" s="45"/>
      <c r="AU38" s="45"/>
      <c r="AV38" s="45"/>
      <c r="AW38" s="45"/>
      <c r="AX38" s="45"/>
      <c r="AY38" s="45"/>
      <c r="AZ38" s="107"/>
    </row>
    <row r="39" ht="20.1" customHeight="1" spans="1:52">
      <c r="A39" s="17">
        <v>36</v>
      </c>
      <c r="B39" s="18">
        <v>2017140117</v>
      </c>
      <c r="C39" s="123" t="s">
        <v>286</v>
      </c>
      <c r="D39" s="96"/>
      <c r="E39" s="99"/>
      <c r="F39" s="98"/>
      <c r="G39" s="21" t="e">
        <f>#REF!*25%+E39*37.5%+F39*37.5%</f>
        <v>#REF!</v>
      </c>
      <c r="H39" s="7"/>
      <c r="I39" s="17">
        <v>34</v>
      </c>
      <c r="J39" s="18">
        <v>2017140115</v>
      </c>
      <c r="K39" s="123" t="s">
        <v>284</v>
      </c>
      <c r="L39" s="105" t="s">
        <v>253</v>
      </c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107"/>
      <c r="AO39" s="7"/>
      <c r="AP39" s="7"/>
      <c r="AQ39" s="17">
        <v>32</v>
      </c>
      <c r="AR39" s="18">
        <v>2017140113</v>
      </c>
      <c r="AS39" s="123" t="s">
        <v>282</v>
      </c>
      <c r="AT39" s="45"/>
      <c r="AU39" s="45"/>
      <c r="AV39" s="45"/>
      <c r="AW39" s="45"/>
      <c r="AX39" s="45"/>
      <c r="AY39" s="45"/>
      <c r="AZ39" s="107"/>
    </row>
    <row r="40" ht="20.1" customHeight="1" spans="1:52">
      <c r="A40" s="17">
        <v>37</v>
      </c>
      <c r="B40" s="18">
        <v>2017140118</v>
      </c>
      <c r="C40" s="123" t="s">
        <v>287</v>
      </c>
      <c r="D40" s="96"/>
      <c r="E40" s="99"/>
      <c r="F40" s="98"/>
      <c r="G40" s="21" t="e">
        <f>#REF!*25%+E40*37.5%+F40*37.5%</f>
        <v>#REF!</v>
      </c>
      <c r="H40" s="7"/>
      <c r="I40" s="17">
        <v>35</v>
      </c>
      <c r="J40" s="18">
        <v>2017140116</v>
      </c>
      <c r="K40" s="123" t="s">
        <v>285</v>
      </c>
      <c r="L40" s="105" t="s">
        <v>253</v>
      </c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107"/>
      <c r="AO40" s="7"/>
      <c r="AP40" s="7"/>
      <c r="AQ40" s="17">
        <v>33</v>
      </c>
      <c r="AR40" s="18">
        <v>2017140114</v>
      </c>
      <c r="AS40" s="123" t="s">
        <v>283</v>
      </c>
      <c r="AT40" s="45"/>
      <c r="AU40" s="45"/>
      <c r="AV40" s="45"/>
      <c r="AW40" s="45"/>
      <c r="AX40" s="45"/>
      <c r="AY40" s="45"/>
      <c r="AZ40" s="107"/>
    </row>
    <row r="41" ht="20.1" customHeight="1" spans="1:52">
      <c r="A41" s="17">
        <v>38</v>
      </c>
      <c r="B41" s="18">
        <v>2017140119</v>
      </c>
      <c r="C41" s="123" t="s">
        <v>288</v>
      </c>
      <c r="D41" s="96"/>
      <c r="E41" s="99"/>
      <c r="F41" s="98"/>
      <c r="G41" s="21" t="e">
        <f>#REF!*25%+E41*37.5%+F41*37.5%</f>
        <v>#REF!</v>
      </c>
      <c r="H41" s="7"/>
      <c r="I41" s="17">
        <v>36</v>
      </c>
      <c r="J41" s="18">
        <v>2017140117</v>
      </c>
      <c r="K41" s="123" t="s">
        <v>286</v>
      </c>
      <c r="L41" s="105" t="s">
        <v>253</v>
      </c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107"/>
      <c r="AO41" s="7"/>
      <c r="AP41" s="7"/>
      <c r="AQ41" s="17">
        <v>34</v>
      </c>
      <c r="AR41" s="18">
        <v>2017140115</v>
      </c>
      <c r="AS41" s="123" t="s">
        <v>284</v>
      </c>
      <c r="AT41" s="45"/>
      <c r="AU41" s="45"/>
      <c r="AV41" s="45"/>
      <c r="AW41" s="45"/>
      <c r="AX41" s="45"/>
      <c r="AY41" s="45"/>
      <c r="AZ41" s="107"/>
    </row>
    <row r="42" ht="20.1" customHeight="1" spans="1:52">
      <c r="A42" s="17">
        <v>39</v>
      </c>
      <c r="B42" s="18">
        <v>2017140120</v>
      </c>
      <c r="C42" s="123" t="s">
        <v>289</v>
      </c>
      <c r="D42" s="96"/>
      <c r="E42" s="99"/>
      <c r="F42" s="98"/>
      <c r="G42" s="21" t="e">
        <f>#REF!*25%+E42*37.5%+F42*37.5%</f>
        <v>#REF!</v>
      </c>
      <c r="H42" s="7"/>
      <c r="I42" s="17">
        <v>37</v>
      </c>
      <c r="J42" s="18">
        <v>2017140118</v>
      </c>
      <c r="K42" s="123" t="s">
        <v>287</v>
      </c>
      <c r="L42" s="105" t="s">
        <v>253</v>
      </c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107"/>
      <c r="AO42" s="7"/>
      <c r="AP42" s="7"/>
      <c r="AQ42" s="17">
        <v>35</v>
      </c>
      <c r="AR42" s="18">
        <v>2017140116</v>
      </c>
      <c r="AS42" s="123" t="s">
        <v>285</v>
      </c>
      <c r="AT42" s="45"/>
      <c r="AU42" s="45"/>
      <c r="AV42" s="45"/>
      <c r="AW42" s="45"/>
      <c r="AX42" s="45"/>
      <c r="AY42" s="45"/>
      <c r="AZ42" s="107"/>
    </row>
    <row r="43" ht="20.1" customHeight="1" spans="1:52">
      <c r="A43" s="28"/>
      <c r="B43" s="78"/>
      <c r="C43" s="100"/>
      <c r="D43" s="29"/>
      <c r="E43" s="29"/>
      <c r="F43" s="29"/>
      <c r="G43" s="29"/>
      <c r="H43" s="7"/>
      <c r="I43" s="17">
        <v>38</v>
      </c>
      <c r="J43" s="18">
        <v>2017140119</v>
      </c>
      <c r="K43" s="123" t="s">
        <v>288</v>
      </c>
      <c r="L43" s="105" t="s">
        <v>253</v>
      </c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107"/>
      <c r="AO43" s="7"/>
      <c r="AP43" s="7"/>
      <c r="AQ43" s="17">
        <v>36</v>
      </c>
      <c r="AR43" s="18">
        <v>2017140117</v>
      </c>
      <c r="AS43" s="123" t="s">
        <v>286</v>
      </c>
      <c r="AT43" s="45"/>
      <c r="AU43" s="45"/>
      <c r="AV43" s="45"/>
      <c r="AW43" s="45"/>
      <c r="AX43" s="45"/>
      <c r="AY43" s="45"/>
      <c r="AZ43" s="107"/>
    </row>
    <row r="44" ht="20.1" customHeight="1" spans="1:52">
      <c r="A44" s="31" t="s">
        <v>81</v>
      </c>
      <c r="B44" s="31"/>
      <c r="C44" s="31"/>
      <c r="D44" s="31"/>
      <c r="E44" s="31"/>
      <c r="F44" s="31"/>
      <c r="G44" s="31"/>
      <c r="H44" s="7"/>
      <c r="I44" s="17">
        <v>39</v>
      </c>
      <c r="J44" s="18">
        <v>2017140120</v>
      </c>
      <c r="K44" s="123" t="s">
        <v>289</v>
      </c>
      <c r="L44" s="105" t="s">
        <v>253</v>
      </c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107"/>
      <c r="AO44" s="7"/>
      <c r="AP44" s="7"/>
      <c r="AQ44" s="17">
        <v>37</v>
      </c>
      <c r="AR44" s="18">
        <v>2017140118</v>
      </c>
      <c r="AS44" s="123" t="s">
        <v>287</v>
      </c>
      <c r="AT44" s="45"/>
      <c r="AU44" s="45"/>
      <c r="AV44" s="45"/>
      <c r="AW44" s="45"/>
      <c r="AX44" s="45"/>
      <c r="AY44" s="45"/>
      <c r="AZ44" s="107"/>
    </row>
    <row r="45" ht="20.1" customHeight="1" spans="1:52">
      <c r="A45" s="32" t="s">
        <v>82</v>
      </c>
      <c r="B45" s="32"/>
      <c r="C45" s="32"/>
      <c r="D45" s="32"/>
      <c r="E45" s="32"/>
      <c r="F45" s="32"/>
      <c r="G45" s="32"/>
      <c r="H45" s="7"/>
      <c r="I45" s="77"/>
      <c r="J45" s="78"/>
      <c r="K45" s="100"/>
      <c r="L45" s="92"/>
      <c r="M45" s="92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7"/>
      <c r="AP45" s="7"/>
      <c r="AQ45" s="17">
        <v>38</v>
      </c>
      <c r="AR45" s="18">
        <v>2017140119</v>
      </c>
      <c r="AS45" s="123" t="s">
        <v>288</v>
      </c>
      <c r="AT45" s="45"/>
      <c r="AU45" s="45"/>
      <c r="AV45" s="45"/>
      <c r="AW45" s="45"/>
      <c r="AX45" s="45"/>
      <c r="AY45" s="45"/>
      <c r="AZ45" s="107"/>
    </row>
    <row r="46" ht="27.75" customHeight="1" spans="1:52">
      <c r="A46" s="32" t="s">
        <v>83</v>
      </c>
      <c r="B46" s="32"/>
      <c r="C46" s="32"/>
      <c r="D46" s="32"/>
      <c r="E46" s="32"/>
      <c r="F46" s="32"/>
      <c r="G46" s="32"/>
      <c r="H46" s="7"/>
      <c r="I46" s="51" t="s">
        <v>84</v>
      </c>
      <c r="J46" s="51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17">
        <v>39</v>
      </c>
      <c r="AR46" s="18">
        <v>2017140120</v>
      </c>
      <c r="AS46" s="123" t="s">
        <v>289</v>
      </c>
      <c r="AT46" s="45"/>
      <c r="AU46" s="45"/>
      <c r="AV46" s="45"/>
      <c r="AW46" s="45"/>
      <c r="AX46" s="45"/>
      <c r="AY46" s="45"/>
      <c r="AZ46" s="107"/>
    </row>
    <row r="47" ht="20.1" customHeight="1" spans="1:52">
      <c r="A47" s="32" t="s">
        <v>85</v>
      </c>
      <c r="B47" s="32"/>
      <c r="C47" s="32"/>
      <c r="D47" s="32"/>
      <c r="E47" s="32"/>
      <c r="F47" s="32"/>
      <c r="G47" s="32"/>
      <c r="H47" s="7"/>
      <c r="I47" s="52" t="s">
        <v>86</v>
      </c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7"/>
      <c r="AP47" s="7"/>
      <c r="AQ47" s="77"/>
      <c r="AR47" s="78"/>
      <c r="AS47" s="100"/>
      <c r="AT47" s="92"/>
      <c r="AU47" s="92"/>
      <c r="AV47" s="92"/>
      <c r="AW47" s="92"/>
      <c r="AX47" s="92"/>
      <c r="AY47" s="92"/>
      <c r="AZ47" s="92"/>
    </row>
    <row r="48" ht="20.1" customHeight="1" spans="1:52">
      <c r="A48" s="101" t="s">
        <v>87</v>
      </c>
      <c r="B48" s="101"/>
      <c r="C48" s="101"/>
      <c r="D48" s="101"/>
      <c r="E48" s="101"/>
      <c r="F48" s="101"/>
      <c r="G48" s="101"/>
      <c r="H48" s="7"/>
      <c r="I48" s="52" t="s">
        <v>88</v>
      </c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7"/>
      <c r="AP48" s="7"/>
      <c r="AQ48" s="79" t="s">
        <v>89</v>
      </c>
      <c r="AR48" s="79"/>
      <c r="AS48" s="79"/>
      <c r="AT48" s="79"/>
      <c r="AU48" s="79"/>
      <c r="AV48" s="79"/>
      <c r="AW48" s="79"/>
      <c r="AX48" s="79"/>
      <c r="AY48" s="79"/>
      <c r="AZ48" s="79"/>
    </row>
    <row r="49" ht="27.75" customHeight="1" spans="1:52">
      <c r="A49" s="7"/>
      <c r="B49" s="7"/>
      <c r="C49" s="7"/>
      <c r="D49" s="7"/>
      <c r="E49" s="7"/>
      <c r="F49" s="7"/>
      <c r="G49" s="7"/>
      <c r="H49" s="7"/>
      <c r="I49" s="53" t="s">
        <v>90</v>
      </c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7"/>
      <c r="AP49" s="7"/>
      <c r="AQ49" s="80" t="s">
        <v>91</v>
      </c>
      <c r="AR49" s="80"/>
      <c r="AS49" s="80"/>
      <c r="AT49" s="80"/>
      <c r="AU49" s="80"/>
      <c r="AV49" s="80"/>
      <c r="AW49" s="80"/>
      <c r="AX49" s="80"/>
      <c r="AY49" s="80"/>
      <c r="AZ49" s="80"/>
    </row>
    <row r="50" ht="20.1" customHeight="1" spans="1:52">
      <c r="A50" s="7"/>
      <c r="B50" s="7"/>
      <c r="C50" s="7"/>
      <c r="D50" s="7"/>
      <c r="E50" s="7"/>
      <c r="F50" s="7"/>
      <c r="G50" s="7"/>
      <c r="H50" s="7"/>
      <c r="I50" s="53" t="s">
        <v>92</v>
      </c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7"/>
      <c r="AP50" s="7"/>
      <c r="AQ50" s="81" t="s">
        <v>93</v>
      </c>
      <c r="AR50" s="81"/>
      <c r="AS50" s="81"/>
      <c r="AT50" s="81"/>
      <c r="AU50" s="81"/>
      <c r="AV50" s="81"/>
      <c r="AW50" s="81"/>
      <c r="AX50" s="81"/>
      <c r="AY50" s="81"/>
      <c r="AZ50" s="81"/>
    </row>
    <row r="51" ht="20.1" customHeight="1" spans="1:52">
      <c r="A51" s="7"/>
      <c r="B51" s="7"/>
      <c r="C51" s="7"/>
      <c r="D51" s="7"/>
      <c r="E51" s="7"/>
      <c r="F51" s="7"/>
      <c r="G51" s="7"/>
      <c r="H51" s="7"/>
      <c r="I51" s="54" t="s">
        <v>94</v>
      </c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7"/>
      <c r="AP51" s="7"/>
      <c r="AQ51" s="81" t="s">
        <v>95</v>
      </c>
      <c r="AR51" s="81"/>
      <c r="AS51" s="81"/>
      <c r="AT51" s="81"/>
      <c r="AU51" s="81"/>
      <c r="AV51" s="81"/>
      <c r="AW51" s="81"/>
      <c r="AX51" s="81"/>
      <c r="AY51" s="81"/>
      <c r="AZ51" s="81"/>
    </row>
    <row r="52" ht="28.5" customHeight="1" spans="1:52">
      <c r="A52" s="7"/>
      <c r="B52" s="7"/>
      <c r="C52" s="7"/>
      <c r="D52" s="7"/>
      <c r="E52" s="7"/>
      <c r="F52" s="7"/>
      <c r="G52" s="7"/>
      <c r="H52" s="7"/>
      <c r="I52" s="55" t="s">
        <v>96</v>
      </c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  <c r="AO52" s="7"/>
      <c r="AP52" s="7"/>
      <c r="AQ52" s="81" t="s">
        <v>97</v>
      </c>
      <c r="AR52" s="81"/>
      <c r="AS52" s="81"/>
      <c r="AT52" s="81"/>
      <c r="AU52" s="81"/>
      <c r="AV52" s="81"/>
      <c r="AW52" s="81"/>
      <c r="AX52" s="81"/>
      <c r="AY52" s="81"/>
      <c r="AZ52" s="81"/>
    </row>
    <row r="53" ht="20.1" customHeight="1" spans="1:52">
      <c r="A53" s="7"/>
      <c r="B53" s="7"/>
      <c r="C53" s="7"/>
      <c r="D53" s="7"/>
      <c r="E53" s="7"/>
      <c r="F53" s="7"/>
      <c r="G53" s="7"/>
      <c r="H53" s="7"/>
      <c r="I53" s="101" t="s">
        <v>290</v>
      </c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1"/>
      <c r="AL53" s="101"/>
      <c r="AM53" s="101"/>
      <c r="AN53" s="101"/>
      <c r="AO53" s="7"/>
      <c r="AP53" s="7"/>
      <c r="AQ53" s="82" t="s">
        <v>99</v>
      </c>
      <c r="AR53" s="83"/>
      <c r="AS53" s="83"/>
      <c r="AT53" s="83"/>
      <c r="AU53" s="83"/>
      <c r="AV53" s="83"/>
      <c r="AW53" s="83"/>
      <c r="AX53" s="83"/>
      <c r="AY53" s="83"/>
      <c r="AZ53" s="83"/>
    </row>
    <row r="54" ht="32.25" customHeight="1" spans="8:42">
      <c r="H54" s="7"/>
      <c r="AO54" s="7"/>
      <c r="AP54" s="7"/>
    </row>
    <row r="55" ht="30" customHeight="1" spans="8:42">
      <c r="H55" s="7"/>
      <c r="AO55" s="7"/>
      <c r="AP55" s="7"/>
    </row>
    <row r="56" ht="24" customHeight="1" spans="8:42">
      <c r="H56" s="7"/>
      <c r="AO56" s="7"/>
      <c r="AP56" s="7"/>
    </row>
    <row r="57" ht="31.5" customHeight="1" spans="8:42">
      <c r="H57" s="7"/>
      <c r="AO57" s="7"/>
      <c r="AP57" s="7"/>
    </row>
    <row r="58" ht="20.1" customHeight="1" spans="8:42">
      <c r="H58" s="7"/>
      <c r="AO58" s="7"/>
      <c r="AP58" s="7"/>
    </row>
    <row r="59" ht="20.1" customHeight="1" spans="8:42">
      <c r="H59" s="7"/>
      <c r="AO59" s="7"/>
      <c r="AP59" s="7"/>
    </row>
    <row r="60" ht="20.1" customHeight="1" spans="8:42">
      <c r="H60" s="7"/>
      <c r="AO60" s="7"/>
      <c r="AP60" s="7"/>
    </row>
    <row r="61" ht="20.1" customHeight="1" spans="8:42">
      <c r="H61" s="7"/>
      <c r="AO61" s="7"/>
      <c r="AP61" s="7"/>
    </row>
  </sheetData>
  <mergeCells count="48">
    <mergeCell ref="A1:G1"/>
    <mergeCell ref="I1:AN1"/>
    <mergeCell ref="AQ1:AZ1"/>
    <mergeCell ref="A2:G2"/>
    <mergeCell ref="I2:J2"/>
    <mergeCell ref="M2:N2"/>
    <mergeCell ref="O2:Q2"/>
    <mergeCell ref="R2:AB2"/>
    <mergeCell ref="AC2:AF2"/>
    <mergeCell ref="AG2:AM2"/>
    <mergeCell ref="AQ2:AZ2"/>
    <mergeCell ref="I3:J3"/>
    <mergeCell ref="M3:Q3"/>
    <mergeCell ref="R3:U3"/>
    <mergeCell ref="V3:AB3"/>
    <mergeCell ref="AC3:AF3"/>
    <mergeCell ref="AG3:AM3"/>
    <mergeCell ref="AQ3:AZ3"/>
    <mergeCell ref="M4:AM4"/>
    <mergeCell ref="AT4:AY4"/>
    <mergeCell ref="AT6:AY6"/>
    <mergeCell ref="A44:G44"/>
    <mergeCell ref="A45:G45"/>
    <mergeCell ref="A46:G46"/>
    <mergeCell ref="A47:G47"/>
    <mergeCell ref="I47:AN47"/>
    <mergeCell ref="A48:G48"/>
    <mergeCell ref="I48:AN48"/>
    <mergeCell ref="AQ48:AZ48"/>
    <mergeCell ref="I49:AN49"/>
    <mergeCell ref="AQ49:AZ49"/>
    <mergeCell ref="I50:AN50"/>
    <mergeCell ref="AQ50:AZ50"/>
    <mergeCell ref="I51:AN51"/>
    <mergeCell ref="AQ51:AZ51"/>
    <mergeCell ref="I52:AN52"/>
    <mergeCell ref="AQ52:AZ52"/>
    <mergeCell ref="I53:AN53"/>
    <mergeCell ref="AQ53:AZ53"/>
    <mergeCell ref="I4:I5"/>
    <mergeCell ref="J4:J5"/>
    <mergeCell ref="K4:K5"/>
    <mergeCell ref="L4:L5"/>
    <mergeCell ref="AN4:AN5"/>
    <mergeCell ref="AQ4:AQ7"/>
    <mergeCell ref="AR4:AR7"/>
    <mergeCell ref="AS4:AS7"/>
    <mergeCell ref="AZ4:AZ6"/>
  </mergeCells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V63"/>
  <sheetViews>
    <sheetView topLeftCell="I1" workbookViewId="0">
      <selection activeCell="V3" sqref="V3:AB3"/>
    </sheetView>
  </sheetViews>
  <sheetFormatPr defaultColWidth="9" defaultRowHeight="13.5"/>
  <cols>
    <col min="1" max="1" width="4.6283185840708" style="7" customWidth="1"/>
    <col min="2" max="2" width="12.7522123893805" style="7" customWidth="1"/>
    <col min="3" max="3" width="8.24778761061947" style="7" customWidth="1"/>
    <col min="4" max="4" width="12" style="7" customWidth="1"/>
    <col min="5" max="5" width="13.1238938053097" style="7" customWidth="1"/>
    <col min="6" max="6" width="15.1238938053097" style="7" customWidth="1"/>
    <col min="7" max="7" width="15.1238938053097" style="8" customWidth="1"/>
    <col min="8" max="8" width="9" style="7"/>
    <col min="9" max="9" width="3.87610619469027" style="7" customWidth="1"/>
    <col min="10" max="10" width="11.6283185840708" style="7" customWidth="1"/>
    <col min="11" max="11" width="7.50442477876106" style="7" customWidth="1"/>
    <col min="12" max="12" width="8.50442477876106" style="7" customWidth="1"/>
    <col min="13" max="35" width="3.6283185840708" style="7" customWidth="1"/>
    <col min="36" max="36" width="7.50442477876106" style="7" customWidth="1"/>
    <col min="37" max="38" width="9" style="7"/>
    <col min="39" max="39" width="4.75221238938053" style="7" customWidth="1"/>
    <col min="40" max="40" width="12" style="7" customWidth="1"/>
    <col min="41" max="16384" width="9" style="7"/>
  </cols>
  <sheetData>
    <row r="1" ht="52.5" customHeight="1" spans="1:48">
      <c r="A1" s="9" t="s">
        <v>0</v>
      </c>
      <c r="B1" s="9"/>
      <c r="C1" s="9"/>
      <c r="D1" s="9"/>
      <c r="E1" s="9"/>
      <c r="F1" s="9"/>
      <c r="G1" s="9"/>
      <c r="I1" s="34" t="s">
        <v>1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M1" s="59" t="s">
        <v>2</v>
      </c>
      <c r="AN1" s="59"/>
      <c r="AO1" s="59"/>
      <c r="AP1" s="59"/>
      <c r="AQ1" s="59"/>
      <c r="AR1" s="59"/>
      <c r="AS1" s="59"/>
      <c r="AT1" s="59"/>
      <c r="AU1" s="59"/>
      <c r="AV1" s="59"/>
    </row>
    <row r="2" ht="27" customHeight="1" spans="1:48">
      <c r="A2" s="10" t="s">
        <v>291</v>
      </c>
      <c r="B2" s="11"/>
      <c r="C2" s="11"/>
      <c r="D2" s="11"/>
      <c r="E2" s="11"/>
      <c r="F2" s="11"/>
      <c r="G2" s="12"/>
      <c r="I2" s="35" t="s">
        <v>4</v>
      </c>
      <c r="J2" s="36"/>
      <c r="K2" s="36" t="s">
        <v>5</v>
      </c>
      <c r="L2" s="36" t="s">
        <v>6</v>
      </c>
      <c r="M2" s="36" t="s">
        <v>292</v>
      </c>
      <c r="N2" s="36"/>
      <c r="O2" s="36" t="s">
        <v>7</v>
      </c>
      <c r="P2" s="36"/>
      <c r="Q2" s="36"/>
      <c r="R2" s="36" t="s">
        <v>293</v>
      </c>
      <c r="S2" s="36"/>
      <c r="T2" s="36"/>
      <c r="U2" s="36"/>
      <c r="V2" s="36"/>
      <c r="W2" s="36"/>
      <c r="X2" s="36"/>
      <c r="Y2" s="36"/>
      <c r="Z2" s="36"/>
      <c r="AA2" s="36"/>
      <c r="AB2" s="36"/>
      <c r="AC2" s="36" t="s">
        <v>9</v>
      </c>
      <c r="AD2" s="36"/>
      <c r="AE2" s="36"/>
      <c r="AF2" s="36"/>
      <c r="AG2" s="60" t="s">
        <v>10</v>
      </c>
      <c r="AH2" s="60"/>
      <c r="AI2" s="60"/>
      <c r="AJ2" s="61"/>
      <c r="AM2" s="62" t="s">
        <v>294</v>
      </c>
      <c r="AN2" s="63"/>
      <c r="AO2" s="63"/>
      <c r="AP2" s="63"/>
      <c r="AQ2" s="63"/>
      <c r="AR2" s="63"/>
      <c r="AS2" s="63"/>
      <c r="AT2" s="63"/>
      <c r="AU2" s="63"/>
      <c r="AV2" s="84"/>
    </row>
    <row r="3" ht="27" spans="1:48">
      <c r="A3" s="13" t="s">
        <v>12</v>
      </c>
      <c r="B3" s="14" t="s">
        <v>13</v>
      </c>
      <c r="C3" s="14" t="s">
        <v>14</v>
      </c>
      <c r="D3" s="15" t="s">
        <v>15</v>
      </c>
      <c r="E3" s="15" t="s">
        <v>16</v>
      </c>
      <c r="F3" s="15" t="s">
        <v>17</v>
      </c>
      <c r="G3" s="16" t="s">
        <v>18</v>
      </c>
      <c r="I3" s="37" t="s">
        <v>19</v>
      </c>
      <c r="J3" s="38"/>
      <c r="K3" s="38" t="s">
        <v>20</v>
      </c>
      <c r="L3" s="38" t="s">
        <v>21</v>
      </c>
      <c r="M3" s="38" t="s">
        <v>22</v>
      </c>
      <c r="N3" s="38"/>
      <c r="O3" s="38"/>
      <c r="P3" s="38"/>
      <c r="Q3" s="38"/>
      <c r="R3" s="38" t="s">
        <v>23</v>
      </c>
      <c r="S3" s="38"/>
      <c r="T3" s="38"/>
      <c r="U3" s="38"/>
      <c r="V3" s="56" t="s">
        <v>295</v>
      </c>
      <c r="W3" s="56"/>
      <c r="X3" s="56"/>
      <c r="Y3" s="56"/>
      <c r="Z3" s="56"/>
      <c r="AA3" s="56"/>
      <c r="AB3" s="56"/>
      <c r="AC3" s="38" t="s">
        <v>25</v>
      </c>
      <c r="AD3" s="38"/>
      <c r="AE3" s="38"/>
      <c r="AF3" s="38"/>
      <c r="AG3" s="56" t="s">
        <v>296</v>
      </c>
      <c r="AH3" s="56"/>
      <c r="AI3" s="56"/>
      <c r="AJ3" s="64"/>
      <c r="AM3" s="65" t="s">
        <v>27</v>
      </c>
      <c r="AN3" s="66"/>
      <c r="AO3" s="66"/>
      <c r="AP3" s="66"/>
      <c r="AQ3" s="66"/>
      <c r="AR3" s="66"/>
      <c r="AS3" s="66"/>
      <c r="AT3" s="66"/>
      <c r="AU3" s="66"/>
      <c r="AV3" s="85"/>
    </row>
    <row r="4" ht="20.1" customHeight="1" spans="1:48">
      <c r="A4" s="17">
        <v>1</v>
      </c>
      <c r="B4" s="18">
        <v>2015020001</v>
      </c>
      <c r="C4" s="123" t="s">
        <v>297</v>
      </c>
      <c r="D4" s="20">
        <v>90</v>
      </c>
      <c r="E4" s="20">
        <v>72</v>
      </c>
      <c r="F4" s="20">
        <v>85</v>
      </c>
      <c r="G4" s="21">
        <f t="shared" ref="G4:G52" si="0">D4*25%+E4*37.5%+F4*37.5%</f>
        <v>81.375</v>
      </c>
      <c r="I4" s="39" t="s">
        <v>29</v>
      </c>
      <c r="J4" s="40" t="s">
        <v>13</v>
      </c>
      <c r="K4" s="40" t="s">
        <v>14</v>
      </c>
      <c r="L4" s="41" t="s">
        <v>30</v>
      </c>
      <c r="M4" s="40" t="s">
        <v>31</v>
      </c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67" t="s">
        <v>32</v>
      </c>
      <c r="AM4" s="68" t="s">
        <v>29</v>
      </c>
      <c r="AN4" s="69" t="s">
        <v>13</v>
      </c>
      <c r="AO4" s="69" t="s">
        <v>14</v>
      </c>
      <c r="AP4" s="86" t="s">
        <v>33</v>
      </c>
      <c r="AQ4" s="87"/>
      <c r="AR4" s="87"/>
      <c r="AS4" s="87"/>
      <c r="AT4" s="87"/>
      <c r="AU4" s="87"/>
      <c r="AV4" s="88" t="s">
        <v>34</v>
      </c>
    </row>
    <row r="5" ht="20.1" customHeight="1" spans="1:48">
      <c r="A5" s="17">
        <v>2</v>
      </c>
      <c r="B5" s="18">
        <v>2015020009</v>
      </c>
      <c r="C5" s="123" t="s">
        <v>298</v>
      </c>
      <c r="D5" s="20">
        <v>100</v>
      </c>
      <c r="E5" s="20">
        <v>76</v>
      </c>
      <c r="F5" s="20">
        <v>80</v>
      </c>
      <c r="G5" s="21">
        <f t="shared" si="0"/>
        <v>83.5</v>
      </c>
      <c r="I5" s="39"/>
      <c r="J5" s="40"/>
      <c r="K5" s="40"/>
      <c r="L5" s="42"/>
      <c r="M5" s="43">
        <v>1</v>
      </c>
      <c r="N5" s="43">
        <v>2</v>
      </c>
      <c r="O5" s="43">
        <v>3</v>
      </c>
      <c r="P5" s="43">
        <v>4</v>
      </c>
      <c r="Q5" s="43">
        <v>5</v>
      </c>
      <c r="R5" s="43">
        <v>6</v>
      </c>
      <c r="S5" s="43">
        <v>7</v>
      </c>
      <c r="T5" s="43">
        <v>8</v>
      </c>
      <c r="U5" s="43">
        <v>9</v>
      </c>
      <c r="V5" s="43">
        <v>10</v>
      </c>
      <c r="W5" s="43">
        <v>11</v>
      </c>
      <c r="X5" s="43">
        <v>12</v>
      </c>
      <c r="Y5" s="43">
        <v>13</v>
      </c>
      <c r="Z5" s="43">
        <v>14</v>
      </c>
      <c r="AA5" s="43">
        <v>15</v>
      </c>
      <c r="AB5" s="43">
        <v>16</v>
      </c>
      <c r="AC5" s="43">
        <v>17</v>
      </c>
      <c r="AD5" s="43">
        <v>18</v>
      </c>
      <c r="AE5" s="43">
        <v>19</v>
      </c>
      <c r="AF5" s="43">
        <v>20</v>
      </c>
      <c r="AG5" s="43">
        <v>21</v>
      </c>
      <c r="AH5" s="43">
        <v>22</v>
      </c>
      <c r="AI5" s="43">
        <v>23</v>
      </c>
      <c r="AJ5" s="70"/>
      <c r="AM5" s="71"/>
      <c r="AN5" s="72"/>
      <c r="AO5" s="72"/>
      <c r="AP5" s="40">
        <v>1</v>
      </c>
      <c r="AQ5" s="40">
        <v>2</v>
      </c>
      <c r="AR5" s="40">
        <v>3</v>
      </c>
      <c r="AS5" s="40">
        <v>4</v>
      </c>
      <c r="AT5" s="40">
        <v>5</v>
      </c>
      <c r="AU5" s="40">
        <v>6</v>
      </c>
      <c r="AV5" s="88"/>
    </row>
    <row r="6" ht="20.1" customHeight="1" spans="1:48">
      <c r="A6" s="17">
        <v>3</v>
      </c>
      <c r="B6" s="18">
        <v>2015020022</v>
      </c>
      <c r="C6" s="123" t="s">
        <v>299</v>
      </c>
      <c r="D6" s="20">
        <v>95</v>
      </c>
      <c r="E6" s="20">
        <v>75</v>
      </c>
      <c r="F6" s="20">
        <v>80</v>
      </c>
      <c r="G6" s="21">
        <f t="shared" si="0"/>
        <v>81.875</v>
      </c>
      <c r="I6" s="17">
        <v>1</v>
      </c>
      <c r="J6" s="18">
        <v>2015020001</v>
      </c>
      <c r="K6" s="123" t="s">
        <v>297</v>
      </c>
      <c r="L6" s="44" t="s">
        <v>300</v>
      </c>
      <c r="M6" s="45"/>
      <c r="N6" s="45"/>
      <c r="O6" s="45"/>
      <c r="P6" s="45" t="s">
        <v>301</v>
      </c>
      <c r="Q6" s="45"/>
      <c r="R6" s="45"/>
      <c r="S6" s="45"/>
      <c r="T6" s="45"/>
      <c r="U6" s="45"/>
      <c r="V6" s="45"/>
      <c r="W6" s="45"/>
      <c r="X6" s="45"/>
      <c r="Y6" s="45"/>
      <c r="Z6" s="45"/>
      <c r="AA6" s="45" t="s">
        <v>301</v>
      </c>
      <c r="AB6" s="45"/>
      <c r="AC6" s="45"/>
      <c r="AD6" s="45"/>
      <c r="AE6" s="45"/>
      <c r="AF6" s="45"/>
      <c r="AG6" s="45"/>
      <c r="AH6" s="45"/>
      <c r="AI6" s="45"/>
      <c r="AJ6" s="73">
        <v>90</v>
      </c>
      <c r="AM6" s="71"/>
      <c r="AN6" s="72"/>
      <c r="AO6" s="72"/>
      <c r="AP6" s="86" t="s">
        <v>38</v>
      </c>
      <c r="AQ6" s="87"/>
      <c r="AR6" s="87"/>
      <c r="AS6" s="87"/>
      <c r="AT6" s="87"/>
      <c r="AU6" s="87"/>
      <c r="AV6" s="88"/>
    </row>
    <row r="7" ht="20.1" customHeight="1" spans="1:48">
      <c r="A7" s="17">
        <v>4</v>
      </c>
      <c r="B7" s="18">
        <v>2015020080</v>
      </c>
      <c r="C7" s="123" t="s">
        <v>302</v>
      </c>
      <c r="D7" s="20">
        <v>100</v>
      </c>
      <c r="E7" s="20">
        <v>86</v>
      </c>
      <c r="F7" s="20">
        <v>90</v>
      </c>
      <c r="G7" s="21">
        <f t="shared" si="0"/>
        <v>91</v>
      </c>
      <c r="I7" s="17">
        <v>2</v>
      </c>
      <c r="J7" s="18">
        <v>2015020009</v>
      </c>
      <c r="K7" s="123" t="s">
        <v>298</v>
      </c>
      <c r="L7" s="44" t="s">
        <v>300</v>
      </c>
      <c r="M7" s="45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73">
        <v>100</v>
      </c>
      <c r="AM7" s="74"/>
      <c r="AN7" s="75"/>
      <c r="AO7" s="75"/>
      <c r="AP7" s="89" t="s">
        <v>303</v>
      </c>
      <c r="AQ7" s="89" t="s">
        <v>304</v>
      </c>
      <c r="AR7" s="90" t="s">
        <v>305</v>
      </c>
      <c r="AS7" s="89" t="s">
        <v>306</v>
      </c>
      <c r="AT7" s="89" t="s">
        <v>307</v>
      </c>
      <c r="AU7" s="89" t="s">
        <v>308</v>
      </c>
      <c r="AV7" s="88"/>
    </row>
    <row r="8" ht="20.1" customHeight="1" spans="1:48">
      <c r="A8" s="17">
        <v>5</v>
      </c>
      <c r="B8" s="18">
        <v>2015020182</v>
      </c>
      <c r="C8" s="123" t="s">
        <v>309</v>
      </c>
      <c r="D8" s="20">
        <v>100</v>
      </c>
      <c r="E8" s="20">
        <v>82</v>
      </c>
      <c r="F8" s="20">
        <v>85</v>
      </c>
      <c r="G8" s="21">
        <f t="shared" si="0"/>
        <v>87.625</v>
      </c>
      <c r="I8" s="17">
        <v>3</v>
      </c>
      <c r="J8" s="18">
        <v>2015020022</v>
      </c>
      <c r="K8" s="123" t="s">
        <v>299</v>
      </c>
      <c r="L8" s="44" t="s">
        <v>300</v>
      </c>
      <c r="M8" s="45"/>
      <c r="N8" s="45" t="s">
        <v>301</v>
      </c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73">
        <v>95</v>
      </c>
      <c r="AM8" s="17">
        <v>1</v>
      </c>
      <c r="AN8" s="18">
        <v>2015020001</v>
      </c>
      <c r="AO8" s="123" t="s">
        <v>297</v>
      </c>
      <c r="AP8" s="45">
        <v>85</v>
      </c>
      <c r="AQ8" s="45">
        <v>90</v>
      </c>
      <c r="AR8" s="45">
        <v>60</v>
      </c>
      <c r="AS8" s="45">
        <v>75</v>
      </c>
      <c r="AT8" s="45">
        <v>60</v>
      </c>
      <c r="AU8" s="45">
        <f t="shared" ref="AU8:AU56" si="1">AV8*6-AP8-AQ8-AR8-AS8-AT8</f>
        <v>62</v>
      </c>
      <c r="AV8" s="73">
        <v>72</v>
      </c>
    </row>
    <row r="9" ht="20.1" customHeight="1" spans="1:48">
      <c r="A9" s="17">
        <v>6</v>
      </c>
      <c r="B9" s="18">
        <v>2015020206</v>
      </c>
      <c r="C9" s="123" t="s">
        <v>310</v>
      </c>
      <c r="D9" s="20">
        <v>100</v>
      </c>
      <c r="E9" s="20">
        <v>76</v>
      </c>
      <c r="F9" s="20">
        <v>90</v>
      </c>
      <c r="G9" s="21">
        <f t="shared" si="0"/>
        <v>87.25</v>
      </c>
      <c r="I9" s="17">
        <v>4</v>
      </c>
      <c r="J9" s="18">
        <v>2015020080</v>
      </c>
      <c r="K9" s="123" t="s">
        <v>302</v>
      </c>
      <c r="L9" s="44" t="s">
        <v>300</v>
      </c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73">
        <v>100</v>
      </c>
      <c r="AM9" s="17">
        <v>2</v>
      </c>
      <c r="AN9" s="18">
        <v>2015020009</v>
      </c>
      <c r="AO9" s="123" t="s">
        <v>298</v>
      </c>
      <c r="AP9" s="45">
        <v>85</v>
      </c>
      <c r="AQ9" s="45">
        <v>70</v>
      </c>
      <c r="AR9" s="45">
        <v>75</v>
      </c>
      <c r="AS9" s="45">
        <v>65</v>
      </c>
      <c r="AT9" s="45">
        <v>80</v>
      </c>
      <c r="AU9" s="45">
        <f t="shared" si="1"/>
        <v>81</v>
      </c>
      <c r="AV9" s="73">
        <v>76</v>
      </c>
    </row>
    <row r="10" ht="20.1" customHeight="1" spans="1:48">
      <c r="A10" s="17">
        <v>7</v>
      </c>
      <c r="B10" s="18">
        <v>2017020001</v>
      </c>
      <c r="C10" s="123" t="s">
        <v>311</v>
      </c>
      <c r="D10" s="20">
        <v>95</v>
      </c>
      <c r="E10" s="20">
        <v>68</v>
      </c>
      <c r="F10" s="20">
        <v>78</v>
      </c>
      <c r="G10" s="21">
        <f t="shared" si="0"/>
        <v>78.5</v>
      </c>
      <c r="I10" s="17">
        <v>5</v>
      </c>
      <c r="J10" s="18">
        <v>2015020182</v>
      </c>
      <c r="K10" s="123" t="s">
        <v>309</v>
      </c>
      <c r="L10" s="44" t="s">
        <v>300</v>
      </c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73">
        <v>100</v>
      </c>
      <c r="AM10" s="17">
        <v>3</v>
      </c>
      <c r="AN10" s="18">
        <v>2015020022</v>
      </c>
      <c r="AO10" s="123" t="s">
        <v>299</v>
      </c>
      <c r="AP10" s="45">
        <v>75</v>
      </c>
      <c r="AQ10" s="45">
        <v>65</v>
      </c>
      <c r="AR10" s="45">
        <v>70</v>
      </c>
      <c r="AS10" s="45">
        <v>85</v>
      </c>
      <c r="AT10" s="45">
        <v>80</v>
      </c>
      <c r="AU10" s="45">
        <f t="shared" si="1"/>
        <v>75</v>
      </c>
      <c r="AV10" s="73">
        <v>75</v>
      </c>
    </row>
    <row r="11" ht="20.1" customHeight="1" spans="1:48">
      <c r="A11" s="17">
        <v>8</v>
      </c>
      <c r="B11" s="18">
        <v>2017020002</v>
      </c>
      <c r="C11" s="123" t="s">
        <v>312</v>
      </c>
      <c r="D11" s="20">
        <v>100</v>
      </c>
      <c r="E11" s="20">
        <v>95</v>
      </c>
      <c r="F11" s="20">
        <v>95</v>
      </c>
      <c r="G11" s="21">
        <f t="shared" si="0"/>
        <v>96.25</v>
      </c>
      <c r="I11" s="17">
        <v>6</v>
      </c>
      <c r="J11" s="18">
        <v>2015020206</v>
      </c>
      <c r="K11" s="123" t="s">
        <v>310</v>
      </c>
      <c r="L11" s="44" t="s">
        <v>300</v>
      </c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73">
        <v>100</v>
      </c>
      <c r="AM11" s="17">
        <v>4</v>
      </c>
      <c r="AN11" s="18">
        <v>2015020080</v>
      </c>
      <c r="AO11" s="123" t="s">
        <v>302</v>
      </c>
      <c r="AP11" s="45">
        <v>90</v>
      </c>
      <c r="AQ11" s="45">
        <v>80</v>
      </c>
      <c r="AR11" s="45">
        <v>85</v>
      </c>
      <c r="AS11" s="45">
        <v>90</v>
      </c>
      <c r="AT11" s="45">
        <v>90</v>
      </c>
      <c r="AU11" s="45">
        <f t="shared" si="1"/>
        <v>81</v>
      </c>
      <c r="AV11" s="73">
        <v>86</v>
      </c>
    </row>
    <row r="12" ht="20.1" customHeight="1" spans="1:48">
      <c r="A12" s="17">
        <v>9</v>
      </c>
      <c r="B12" s="18">
        <v>2017020003</v>
      </c>
      <c r="C12" s="123" t="s">
        <v>313</v>
      </c>
      <c r="D12" s="20">
        <v>100</v>
      </c>
      <c r="E12" s="20">
        <v>65</v>
      </c>
      <c r="F12" s="20">
        <v>80</v>
      </c>
      <c r="G12" s="21">
        <f t="shared" si="0"/>
        <v>79.375</v>
      </c>
      <c r="I12" s="17">
        <v>7</v>
      </c>
      <c r="J12" s="18">
        <v>2017020001</v>
      </c>
      <c r="K12" s="123" t="s">
        <v>311</v>
      </c>
      <c r="L12" s="44" t="s">
        <v>300</v>
      </c>
      <c r="M12" s="45"/>
      <c r="N12" s="45"/>
      <c r="O12" s="45"/>
      <c r="P12" s="45"/>
      <c r="Q12" s="45"/>
      <c r="R12" s="45"/>
      <c r="S12" s="45" t="s">
        <v>301</v>
      </c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73">
        <v>95</v>
      </c>
      <c r="AM12" s="17">
        <v>5</v>
      </c>
      <c r="AN12" s="18">
        <v>2015020182</v>
      </c>
      <c r="AO12" s="123" t="s">
        <v>309</v>
      </c>
      <c r="AP12" s="45">
        <v>80</v>
      </c>
      <c r="AQ12" s="45">
        <v>90</v>
      </c>
      <c r="AR12" s="45">
        <v>75</v>
      </c>
      <c r="AS12" s="45">
        <v>75</v>
      </c>
      <c r="AT12" s="45">
        <v>85</v>
      </c>
      <c r="AU12" s="45">
        <f t="shared" si="1"/>
        <v>87</v>
      </c>
      <c r="AV12" s="73">
        <v>82</v>
      </c>
    </row>
    <row r="13" ht="20.1" customHeight="1" spans="1:48">
      <c r="A13" s="17">
        <v>10</v>
      </c>
      <c r="B13" s="18">
        <v>2017020005</v>
      </c>
      <c r="C13" s="123" t="s">
        <v>314</v>
      </c>
      <c r="D13" s="20">
        <v>100</v>
      </c>
      <c r="E13" s="20">
        <v>92</v>
      </c>
      <c r="F13" s="20">
        <v>95</v>
      </c>
      <c r="G13" s="21">
        <f t="shared" si="0"/>
        <v>95.125</v>
      </c>
      <c r="I13" s="17">
        <v>8</v>
      </c>
      <c r="J13" s="18">
        <v>2017020002</v>
      </c>
      <c r="K13" s="123" t="s">
        <v>312</v>
      </c>
      <c r="L13" s="44" t="s">
        <v>300</v>
      </c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73">
        <v>100</v>
      </c>
      <c r="AM13" s="17">
        <v>6</v>
      </c>
      <c r="AN13" s="18">
        <v>2015020206</v>
      </c>
      <c r="AO13" s="123" t="s">
        <v>310</v>
      </c>
      <c r="AP13" s="45">
        <v>85</v>
      </c>
      <c r="AQ13" s="45">
        <v>80</v>
      </c>
      <c r="AR13" s="45">
        <v>65</v>
      </c>
      <c r="AS13" s="45">
        <v>75</v>
      </c>
      <c r="AT13" s="45">
        <v>80</v>
      </c>
      <c r="AU13" s="45">
        <f t="shared" si="1"/>
        <v>71</v>
      </c>
      <c r="AV13" s="73">
        <v>76</v>
      </c>
    </row>
    <row r="14" ht="20.1" customHeight="1" spans="1:48">
      <c r="A14" s="17">
        <v>11</v>
      </c>
      <c r="B14" s="18">
        <v>2017020006</v>
      </c>
      <c r="C14" s="123" t="s">
        <v>315</v>
      </c>
      <c r="D14" s="20">
        <v>100</v>
      </c>
      <c r="E14" s="20">
        <v>82</v>
      </c>
      <c r="F14" s="20">
        <v>90</v>
      </c>
      <c r="G14" s="21">
        <f t="shared" si="0"/>
        <v>89.5</v>
      </c>
      <c r="I14" s="17">
        <v>9</v>
      </c>
      <c r="J14" s="18">
        <v>2017020003</v>
      </c>
      <c r="K14" s="123" t="s">
        <v>313</v>
      </c>
      <c r="L14" s="44" t="s">
        <v>300</v>
      </c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73">
        <v>100</v>
      </c>
      <c r="AM14" s="17">
        <v>7</v>
      </c>
      <c r="AN14" s="18">
        <v>2017020001</v>
      </c>
      <c r="AO14" s="123" t="s">
        <v>311</v>
      </c>
      <c r="AP14" s="45">
        <v>80</v>
      </c>
      <c r="AQ14" s="45">
        <v>70</v>
      </c>
      <c r="AR14" s="45">
        <v>60</v>
      </c>
      <c r="AS14" s="45">
        <v>65</v>
      </c>
      <c r="AT14" s="45">
        <v>70</v>
      </c>
      <c r="AU14" s="45">
        <f t="shared" si="1"/>
        <v>63</v>
      </c>
      <c r="AV14" s="73">
        <v>68</v>
      </c>
    </row>
    <row r="15" ht="20.1" customHeight="1" spans="1:48">
      <c r="A15" s="17">
        <v>12</v>
      </c>
      <c r="B15" s="18">
        <v>2017020007</v>
      </c>
      <c r="C15" s="123" t="s">
        <v>316</v>
      </c>
      <c r="D15" s="20">
        <v>100</v>
      </c>
      <c r="E15" s="20">
        <v>84</v>
      </c>
      <c r="F15" s="20">
        <v>85</v>
      </c>
      <c r="G15" s="21">
        <f t="shared" si="0"/>
        <v>88.375</v>
      </c>
      <c r="I15" s="17">
        <v>10</v>
      </c>
      <c r="J15" s="18">
        <v>2017020005</v>
      </c>
      <c r="K15" s="123" t="s">
        <v>314</v>
      </c>
      <c r="L15" s="44" t="s">
        <v>300</v>
      </c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73">
        <v>100</v>
      </c>
      <c r="AM15" s="17">
        <v>8</v>
      </c>
      <c r="AN15" s="18">
        <v>2017020002</v>
      </c>
      <c r="AO15" s="123" t="s">
        <v>312</v>
      </c>
      <c r="AP15" s="45">
        <v>100</v>
      </c>
      <c r="AQ15" s="45">
        <v>100</v>
      </c>
      <c r="AR15" s="45">
        <v>90</v>
      </c>
      <c r="AS15" s="45">
        <v>90</v>
      </c>
      <c r="AT15" s="45">
        <v>95</v>
      </c>
      <c r="AU15" s="45">
        <f t="shared" si="1"/>
        <v>95</v>
      </c>
      <c r="AV15" s="73">
        <v>95</v>
      </c>
    </row>
    <row r="16" ht="20.1" customHeight="1" spans="1:48">
      <c r="A16" s="17">
        <v>13</v>
      </c>
      <c r="B16" s="18">
        <v>2017020009</v>
      </c>
      <c r="C16" s="123" t="s">
        <v>317</v>
      </c>
      <c r="D16" s="20">
        <v>100</v>
      </c>
      <c r="E16" s="20">
        <v>88</v>
      </c>
      <c r="F16" s="20">
        <v>90</v>
      </c>
      <c r="G16" s="21">
        <f t="shared" si="0"/>
        <v>91.75</v>
      </c>
      <c r="I16" s="17">
        <v>11</v>
      </c>
      <c r="J16" s="18">
        <v>2017020006</v>
      </c>
      <c r="K16" s="123" t="s">
        <v>315</v>
      </c>
      <c r="L16" s="44" t="s">
        <v>300</v>
      </c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73">
        <v>100</v>
      </c>
      <c r="AM16" s="17">
        <v>9</v>
      </c>
      <c r="AN16" s="18">
        <v>2017020003</v>
      </c>
      <c r="AO16" s="123" t="s">
        <v>313</v>
      </c>
      <c r="AP16" s="45">
        <v>65</v>
      </c>
      <c r="AQ16" s="45">
        <v>75</v>
      </c>
      <c r="AR16" s="45">
        <v>60</v>
      </c>
      <c r="AS16" s="45">
        <v>65</v>
      </c>
      <c r="AT16" s="45">
        <v>60</v>
      </c>
      <c r="AU16" s="45">
        <f t="shared" si="1"/>
        <v>65</v>
      </c>
      <c r="AV16" s="73">
        <v>65</v>
      </c>
    </row>
    <row r="17" ht="20.1" customHeight="1" spans="1:48">
      <c r="A17" s="17">
        <v>14</v>
      </c>
      <c r="B17" s="18">
        <v>2017020010</v>
      </c>
      <c r="C17" s="123" t="s">
        <v>318</v>
      </c>
      <c r="D17" s="20">
        <v>100</v>
      </c>
      <c r="E17" s="20">
        <v>90</v>
      </c>
      <c r="F17" s="20">
        <v>95</v>
      </c>
      <c r="G17" s="21">
        <f t="shared" si="0"/>
        <v>94.375</v>
      </c>
      <c r="I17" s="17">
        <v>12</v>
      </c>
      <c r="J17" s="18">
        <v>2017020007</v>
      </c>
      <c r="K17" s="123" t="s">
        <v>316</v>
      </c>
      <c r="L17" s="44" t="s">
        <v>300</v>
      </c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73">
        <v>100</v>
      </c>
      <c r="AM17" s="17">
        <v>10</v>
      </c>
      <c r="AN17" s="18">
        <v>2017020005</v>
      </c>
      <c r="AO17" s="123" t="s">
        <v>314</v>
      </c>
      <c r="AP17" s="45">
        <v>95</v>
      </c>
      <c r="AQ17" s="45">
        <v>100</v>
      </c>
      <c r="AR17" s="45">
        <v>90</v>
      </c>
      <c r="AS17" s="45">
        <v>95</v>
      </c>
      <c r="AT17" s="45">
        <v>80</v>
      </c>
      <c r="AU17" s="45">
        <f t="shared" si="1"/>
        <v>92</v>
      </c>
      <c r="AV17" s="73">
        <v>92</v>
      </c>
    </row>
    <row r="18" ht="20.1" customHeight="1" spans="1:48">
      <c r="A18" s="17">
        <v>15</v>
      </c>
      <c r="B18" s="18">
        <v>2017020011</v>
      </c>
      <c r="C18" s="123" t="s">
        <v>319</v>
      </c>
      <c r="D18" s="20">
        <v>100</v>
      </c>
      <c r="E18" s="20">
        <v>76</v>
      </c>
      <c r="F18" s="20">
        <v>80</v>
      </c>
      <c r="G18" s="21">
        <f t="shared" si="0"/>
        <v>83.5</v>
      </c>
      <c r="I18" s="17">
        <v>13</v>
      </c>
      <c r="J18" s="18">
        <v>2017020009</v>
      </c>
      <c r="K18" s="123" t="s">
        <v>317</v>
      </c>
      <c r="L18" s="44" t="s">
        <v>300</v>
      </c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73">
        <v>100</v>
      </c>
      <c r="AM18" s="17">
        <v>11</v>
      </c>
      <c r="AN18" s="18">
        <v>2017020006</v>
      </c>
      <c r="AO18" s="123" t="s">
        <v>315</v>
      </c>
      <c r="AP18" s="45">
        <v>85</v>
      </c>
      <c r="AQ18" s="45">
        <v>95</v>
      </c>
      <c r="AR18" s="45">
        <v>75</v>
      </c>
      <c r="AS18" s="45">
        <v>85</v>
      </c>
      <c r="AT18" s="45">
        <v>65</v>
      </c>
      <c r="AU18" s="45">
        <f t="shared" si="1"/>
        <v>87</v>
      </c>
      <c r="AV18" s="73">
        <v>82</v>
      </c>
    </row>
    <row r="19" ht="20.1" customHeight="1" spans="1:48">
      <c r="A19" s="17">
        <v>16</v>
      </c>
      <c r="B19" s="18">
        <v>2017020012</v>
      </c>
      <c r="C19" s="123" t="s">
        <v>320</v>
      </c>
      <c r="D19" s="20">
        <v>95</v>
      </c>
      <c r="E19" s="20">
        <v>95</v>
      </c>
      <c r="F19" s="20">
        <v>90</v>
      </c>
      <c r="G19" s="21">
        <f t="shared" si="0"/>
        <v>93.125</v>
      </c>
      <c r="I19" s="17">
        <v>14</v>
      </c>
      <c r="J19" s="18">
        <v>2017020010</v>
      </c>
      <c r="K19" s="123" t="s">
        <v>318</v>
      </c>
      <c r="L19" s="44" t="s">
        <v>300</v>
      </c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73">
        <v>100</v>
      </c>
      <c r="AM19" s="17">
        <v>12</v>
      </c>
      <c r="AN19" s="18">
        <v>2017020007</v>
      </c>
      <c r="AO19" s="123" t="s">
        <v>316</v>
      </c>
      <c r="AP19" s="45">
        <v>90</v>
      </c>
      <c r="AQ19" s="45">
        <v>95</v>
      </c>
      <c r="AR19" s="45">
        <v>75</v>
      </c>
      <c r="AS19" s="45">
        <v>80</v>
      </c>
      <c r="AT19" s="45">
        <v>80</v>
      </c>
      <c r="AU19" s="45">
        <f t="shared" si="1"/>
        <v>84</v>
      </c>
      <c r="AV19" s="73">
        <v>84</v>
      </c>
    </row>
    <row r="20" ht="20.1" customHeight="1" spans="1:48">
      <c r="A20" s="17">
        <v>17</v>
      </c>
      <c r="B20" s="18">
        <v>2017020013</v>
      </c>
      <c r="C20" s="123" t="s">
        <v>321</v>
      </c>
      <c r="D20" s="20">
        <v>100</v>
      </c>
      <c r="E20" s="20">
        <v>81</v>
      </c>
      <c r="F20" s="20">
        <v>85</v>
      </c>
      <c r="G20" s="21">
        <f t="shared" si="0"/>
        <v>87.25</v>
      </c>
      <c r="I20" s="17">
        <v>15</v>
      </c>
      <c r="J20" s="18">
        <v>2017020011</v>
      </c>
      <c r="K20" s="123" t="s">
        <v>319</v>
      </c>
      <c r="L20" s="44" t="s">
        <v>300</v>
      </c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73">
        <v>100</v>
      </c>
      <c r="AM20" s="17">
        <v>13</v>
      </c>
      <c r="AN20" s="18">
        <v>2017020009</v>
      </c>
      <c r="AO20" s="123" t="s">
        <v>317</v>
      </c>
      <c r="AP20" s="45">
        <v>95</v>
      </c>
      <c r="AQ20" s="45">
        <v>100</v>
      </c>
      <c r="AR20" s="45">
        <v>85</v>
      </c>
      <c r="AS20" s="45">
        <v>85</v>
      </c>
      <c r="AT20" s="45">
        <v>80</v>
      </c>
      <c r="AU20" s="45">
        <f t="shared" si="1"/>
        <v>83</v>
      </c>
      <c r="AV20" s="73">
        <v>88</v>
      </c>
    </row>
    <row r="21" ht="20.1" customHeight="1" spans="1:48">
      <c r="A21" s="17">
        <v>18</v>
      </c>
      <c r="B21" s="18">
        <v>2017020014</v>
      </c>
      <c r="C21" s="123" t="s">
        <v>322</v>
      </c>
      <c r="D21" s="20">
        <v>90</v>
      </c>
      <c r="E21" s="20">
        <v>58</v>
      </c>
      <c r="F21" s="20">
        <v>75</v>
      </c>
      <c r="G21" s="21">
        <f t="shared" si="0"/>
        <v>72.375</v>
      </c>
      <c r="I21" s="17">
        <v>16</v>
      </c>
      <c r="J21" s="18">
        <v>2017020012</v>
      </c>
      <c r="K21" s="123" t="s">
        <v>320</v>
      </c>
      <c r="L21" s="44" t="s">
        <v>300</v>
      </c>
      <c r="M21" s="45"/>
      <c r="N21" s="45"/>
      <c r="O21" s="45"/>
      <c r="P21" s="45"/>
      <c r="Q21" s="45"/>
      <c r="R21" s="45"/>
      <c r="S21" s="45"/>
      <c r="T21" s="45"/>
      <c r="U21" s="45"/>
      <c r="V21" s="45" t="s">
        <v>301</v>
      </c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73">
        <v>95</v>
      </c>
      <c r="AM21" s="17">
        <v>14</v>
      </c>
      <c r="AN21" s="18">
        <v>2017020010</v>
      </c>
      <c r="AO21" s="123" t="s">
        <v>318</v>
      </c>
      <c r="AP21" s="45">
        <v>95</v>
      </c>
      <c r="AQ21" s="45">
        <v>100</v>
      </c>
      <c r="AR21" s="45">
        <v>85</v>
      </c>
      <c r="AS21" s="45">
        <v>90</v>
      </c>
      <c r="AT21" s="45">
        <v>80</v>
      </c>
      <c r="AU21" s="45">
        <f t="shared" si="1"/>
        <v>90</v>
      </c>
      <c r="AV21" s="73">
        <v>90</v>
      </c>
    </row>
    <row r="22" ht="20.1" customHeight="1" spans="1:48">
      <c r="A22" s="17">
        <v>19</v>
      </c>
      <c r="B22" s="18">
        <v>2017020015</v>
      </c>
      <c r="C22" s="123" t="s">
        <v>323</v>
      </c>
      <c r="D22" s="20">
        <v>100</v>
      </c>
      <c r="E22" s="20">
        <v>87</v>
      </c>
      <c r="F22" s="20">
        <v>85</v>
      </c>
      <c r="G22" s="21">
        <f t="shared" si="0"/>
        <v>89.5</v>
      </c>
      <c r="I22" s="17">
        <v>17</v>
      </c>
      <c r="J22" s="18">
        <v>2017020013</v>
      </c>
      <c r="K22" s="123" t="s">
        <v>321</v>
      </c>
      <c r="L22" s="44" t="s">
        <v>300</v>
      </c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73">
        <v>100</v>
      </c>
      <c r="AM22" s="17">
        <v>15</v>
      </c>
      <c r="AN22" s="18">
        <v>2017020011</v>
      </c>
      <c r="AO22" s="123" t="s">
        <v>319</v>
      </c>
      <c r="AP22" s="45">
        <v>80</v>
      </c>
      <c r="AQ22" s="45">
        <v>90</v>
      </c>
      <c r="AR22" s="45">
        <v>65</v>
      </c>
      <c r="AS22" s="45">
        <v>75</v>
      </c>
      <c r="AT22" s="45">
        <v>80</v>
      </c>
      <c r="AU22" s="45">
        <f t="shared" si="1"/>
        <v>66</v>
      </c>
      <c r="AV22" s="73">
        <v>76</v>
      </c>
    </row>
    <row r="23" ht="20.1" customHeight="1" spans="1:48">
      <c r="A23" s="17">
        <v>20</v>
      </c>
      <c r="B23" s="18">
        <v>2017020016</v>
      </c>
      <c r="C23" s="123" t="s">
        <v>324</v>
      </c>
      <c r="D23" s="20">
        <v>100</v>
      </c>
      <c r="E23" s="20">
        <v>82</v>
      </c>
      <c r="F23" s="20">
        <v>85</v>
      </c>
      <c r="G23" s="21">
        <f t="shared" si="0"/>
        <v>87.625</v>
      </c>
      <c r="I23" s="17">
        <v>18</v>
      </c>
      <c r="J23" s="18">
        <v>2017020014</v>
      </c>
      <c r="K23" s="123" t="s">
        <v>322</v>
      </c>
      <c r="L23" s="44" t="s">
        <v>300</v>
      </c>
      <c r="M23" s="45"/>
      <c r="N23" s="45"/>
      <c r="O23" s="45"/>
      <c r="P23" s="45"/>
      <c r="Q23" s="29"/>
      <c r="R23" s="45"/>
      <c r="S23" s="45"/>
      <c r="T23" s="45"/>
      <c r="U23" s="45"/>
      <c r="V23" s="45"/>
      <c r="W23" s="45"/>
      <c r="X23" s="45"/>
      <c r="Y23" s="45"/>
      <c r="Z23" s="45" t="s">
        <v>301</v>
      </c>
      <c r="AA23" s="45"/>
      <c r="AB23" s="45"/>
      <c r="AC23" s="45"/>
      <c r="AD23" s="45"/>
      <c r="AE23" s="45"/>
      <c r="AF23" s="45" t="s">
        <v>301</v>
      </c>
      <c r="AG23" s="45"/>
      <c r="AH23" s="45"/>
      <c r="AI23" s="45"/>
      <c r="AJ23" s="73">
        <v>90</v>
      </c>
      <c r="AM23" s="17">
        <v>16</v>
      </c>
      <c r="AN23" s="18">
        <v>2017020012</v>
      </c>
      <c r="AO23" s="123" t="s">
        <v>320</v>
      </c>
      <c r="AP23" s="45">
        <v>95</v>
      </c>
      <c r="AQ23" s="45">
        <v>100</v>
      </c>
      <c r="AR23" s="45">
        <v>90</v>
      </c>
      <c r="AS23" s="45">
        <v>95</v>
      </c>
      <c r="AT23" s="45">
        <v>100</v>
      </c>
      <c r="AU23" s="45">
        <f t="shared" si="1"/>
        <v>90</v>
      </c>
      <c r="AV23" s="73">
        <v>95</v>
      </c>
    </row>
    <row r="24" ht="20.1" customHeight="1" spans="1:48">
      <c r="A24" s="17">
        <v>21</v>
      </c>
      <c r="B24" s="18">
        <v>2017020017</v>
      </c>
      <c r="C24" s="123" t="s">
        <v>325</v>
      </c>
      <c r="D24" s="20">
        <v>100</v>
      </c>
      <c r="E24" s="20">
        <v>80</v>
      </c>
      <c r="F24" s="20">
        <v>90</v>
      </c>
      <c r="G24" s="21">
        <f t="shared" si="0"/>
        <v>88.75</v>
      </c>
      <c r="I24" s="17">
        <v>19</v>
      </c>
      <c r="J24" s="18">
        <v>2017020015</v>
      </c>
      <c r="K24" s="123" t="s">
        <v>323</v>
      </c>
      <c r="L24" s="44" t="s">
        <v>300</v>
      </c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73">
        <v>100</v>
      </c>
      <c r="AM24" s="17">
        <v>17</v>
      </c>
      <c r="AN24" s="18">
        <v>2017020013</v>
      </c>
      <c r="AO24" s="123" t="s">
        <v>321</v>
      </c>
      <c r="AP24" s="45">
        <v>85</v>
      </c>
      <c r="AQ24" s="45">
        <v>90</v>
      </c>
      <c r="AR24" s="45">
        <v>75</v>
      </c>
      <c r="AS24" s="45">
        <v>75</v>
      </c>
      <c r="AT24" s="45">
        <v>80</v>
      </c>
      <c r="AU24" s="45">
        <f t="shared" si="1"/>
        <v>81</v>
      </c>
      <c r="AV24" s="73">
        <v>81</v>
      </c>
    </row>
    <row r="25" ht="20.1" customHeight="1" spans="1:48">
      <c r="A25" s="17">
        <v>22</v>
      </c>
      <c r="B25" s="18">
        <v>2017020018</v>
      </c>
      <c r="C25" s="123" t="s">
        <v>326</v>
      </c>
      <c r="D25" s="20">
        <v>95</v>
      </c>
      <c r="E25" s="20">
        <v>72</v>
      </c>
      <c r="F25" s="20">
        <v>80</v>
      </c>
      <c r="G25" s="21">
        <f t="shared" si="0"/>
        <v>80.75</v>
      </c>
      <c r="I25" s="17">
        <v>20</v>
      </c>
      <c r="J25" s="18">
        <v>2017020016</v>
      </c>
      <c r="K25" s="123" t="s">
        <v>324</v>
      </c>
      <c r="L25" s="44" t="s">
        <v>300</v>
      </c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73">
        <v>100</v>
      </c>
      <c r="AM25" s="17">
        <v>18</v>
      </c>
      <c r="AN25" s="18">
        <v>2017020014</v>
      </c>
      <c r="AO25" s="123" t="s">
        <v>322</v>
      </c>
      <c r="AP25" s="45">
        <v>60</v>
      </c>
      <c r="AQ25" s="45">
        <v>65</v>
      </c>
      <c r="AR25" s="45"/>
      <c r="AS25" s="45">
        <v>80</v>
      </c>
      <c r="AT25" s="45">
        <v>58</v>
      </c>
      <c r="AU25" s="45">
        <f t="shared" si="1"/>
        <v>85</v>
      </c>
      <c r="AV25" s="73">
        <v>58</v>
      </c>
    </row>
    <row r="26" ht="20.1" customHeight="1" spans="1:48">
      <c r="A26" s="17">
        <v>23</v>
      </c>
      <c r="B26" s="18">
        <v>2017020019</v>
      </c>
      <c r="C26" s="123" t="s">
        <v>327</v>
      </c>
      <c r="D26" s="20">
        <v>100</v>
      </c>
      <c r="E26" s="20">
        <v>62</v>
      </c>
      <c r="F26" s="20">
        <v>75</v>
      </c>
      <c r="G26" s="21">
        <f t="shared" si="0"/>
        <v>76.375</v>
      </c>
      <c r="I26" s="17">
        <v>21</v>
      </c>
      <c r="J26" s="18">
        <v>2017020017</v>
      </c>
      <c r="K26" s="123" t="s">
        <v>325</v>
      </c>
      <c r="L26" s="44" t="s">
        <v>300</v>
      </c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73">
        <v>100</v>
      </c>
      <c r="AM26" s="17">
        <v>19</v>
      </c>
      <c r="AN26" s="18">
        <v>2017020015</v>
      </c>
      <c r="AO26" s="123" t="s">
        <v>323</v>
      </c>
      <c r="AP26" s="45">
        <v>90</v>
      </c>
      <c r="AQ26" s="45">
        <v>95</v>
      </c>
      <c r="AR26" s="45">
        <v>75</v>
      </c>
      <c r="AS26" s="45">
        <v>80</v>
      </c>
      <c r="AT26" s="45">
        <v>90</v>
      </c>
      <c r="AU26" s="45">
        <f t="shared" si="1"/>
        <v>92</v>
      </c>
      <c r="AV26" s="73">
        <v>87</v>
      </c>
    </row>
    <row r="27" ht="20.1" customHeight="1" spans="1:48">
      <c r="A27" s="17">
        <v>24</v>
      </c>
      <c r="B27" s="18">
        <v>2017020020</v>
      </c>
      <c r="C27" s="123" t="s">
        <v>328</v>
      </c>
      <c r="D27" s="20">
        <v>95</v>
      </c>
      <c r="E27" s="20">
        <v>89</v>
      </c>
      <c r="F27" s="20">
        <v>90</v>
      </c>
      <c r="G27" s="21">
        <f t="shared" si="0"/>
        <v>90.875</v>
      </c>
      <c r="I27" s="17">
        <v>22</v>
      </c>
      <c r="J27" s="18">
        <v>2017020018</v>
      </c>
      <c r="K27" s="123" t="s">
        <v>326</v>
      </c>
      <c r="L27" s="44" t="s">
        <v>300</v>
      </c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 t="s">
        <v>301</v>
      </c>
      <c r="AG27" s="45"/>
      <c r="AH27" s="45"/>
      <c r="AI27" s="45"/>
      <c r="AJ27" s="73">
        <v>95</v>
      </c>
      <c r="AM27" s="17">
        <v>20</v>
      </c>
      <c r="AN27" s="18">
        <v>2017020016</v>
      </c>
      <c r="AO27" s="123" t="s">
        <v>324</v>
      </c>
      <c r="AP27" s="45">
        <v>90</v>
      </c>
      <c r="AQ27" s="45">
        <v>95</v>
      </c>
      <c r="AR27" s="45">
        <v>75</v>
      </c>
      <c r="AS27" s="45">
        <v>75</v>
      </c>
      <c r="AT27" s="45">
        <v>80</v>
      </c>
      <c r="AU27" s="45">
        <f t="shared" si="1"/>
        <v>77</v>
      </c>
      <c r="AV27" s="73">
        <v>82</v>
      </c>
    </row>
    <row r="28" ht="20.1" customHeight="1" spans="1:48">
      <c r="A28" s="17">
        <v>25</v>
      </c>
      <c r="B28" s="18">
        <v>2017020021</v>
      </c>
      <c r="C28" s="123" t="s">
        <v>329</v>
      </c>
      <c r="D28" s="20">
        <v>100</v>
      </c>
      <c r="E28" s="20">
        <v>72</v>
      </c>
      <c r="F28" s="20">
        <v>80</v>
      </c>
      <c r="G28" s="21">
        <f t="shared" si="0"/>
        <v>82</v>
      </c>
      <c r="I28" s="17">
        <v>23</v>
      </c>
      <c r="J28" s="18">
        <v>2017020019</v>
      </c>
      <c r="K28" s="123" t="s">
        <v>327</v>
      </c>
      <c r="L28" s="44" t="s">
        <v>300</v>
      </c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73">
        <v>100</v>
      </c>
      <c r="AM28" s="17">
        <v>21</v>
      </c>
      <c r="AN28" s="18">
        <v>2017020017</v>
      </c>
      <c r="AO28" s="123" t="s">
        <v>325</v>
      </c>
      <c r="AP28" s="45">
        <v>80</v>
      </c>
      <c r="AQ28" s="45">
        <v>85</v>
      </c>
      <c r="AR28" s="45">
        <v>65</v>
      </c>
      <c r="AS28" s="45">
        <v>70</v>
      </c>
      <c r="AT28" s="45">
        <v>90</v>
      </c>
      <c r="AU28" s="45">
        <f t="shared" si="1"/>
        <v>90</v>
      </c>
      <c r="AV28" s="73">
        <v>80</v>
      </c>
    </row>
    <row r="29" ht="20.1" customHeight="1" spans="1:48">
      <c r="A29" s="17">
        <v>26</v>
      </c>
      <c r="B29" s="18">
        <v>2017020022</v>
      </c>
      <c r="C29" s="123" t="s">
        <v>330</v>
      </c>
      <c r="D29" s="20">
        <v>97</v>
      </c>
      <c r="E29" s="20">
        <v>82</v>
      </c>
      <c r="F29" s="20">
        <v>85</v>
      </c>
      <c r="G29" s="21">
        <f t="shared" si="0"/>
        <v>86.875</v>
      </c>
      <c r="I29" s="17">
        <v>24</v>
      </c>
      <c r="J29" s="18">
        <v>2017020020</v>
      </c>
      <c r="K29" s="123" t="s">
        <v>328</v>
      </c>
      <c r="L29" s="44" t="s">
        <v>300</v>
      </c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 t="s">
        <v>301</v>
      </c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73">
        <v>95</v>
      </c>
      <c r="AM29" s="17">
        <v>22</v>
      </c>
      <c r="AN29" s="18">
        <v>2017020018</v>
      </c>
      <c r="AO29" s="123" t="s">
        <v>326</v>
      </c>
      <c r="AP29" s="45">
        <v>70</v>
      </c>
      <c r="AQ29" s="45">
        <v>80</v>
      </c>
      <c r="AR29" s="45">
        <v>70</v>
      </c>
      <c r="AS29" s="45">
        <v>65</v>
      </c>
      <c r="AT29" s="45">
        <v>80</v>
      </c>
      <c r="AU29" s="45">
        <f t="shared" si="1"/>
        <v>67</v>
      </c>
      <c r="AV29" s="73">
        <v>72</v>
      </c>
    </row>
    <row r="30" ht="20.1" customHeight="1" spans="1:48">
      <c r="A30" s="17">
        <v>27</v>
      </c>
      <c r="B30" s="18">
        <v>2017020023</v>
      </c>
      <c r="C30" s="123" t="s">
        <v>331</v>
      </c>
      <c r="D30" s="20">
        <v>100</v>
      </c>
      <c r="E30" s="20">
        <v>87</v>
      </c>
      <c r="F30" s="20">
        <v>90</v>
      </c>
      <c r="G30" s="21">
        <f t="shared" si="0"/>
        <v>91.375</v>
      </c>
      <c r="I30" s="17">
        <v>25</v>
      </c>
      <c r="J30" s="18">
        <v>2017020021</v>
      </c>
      <c r="K30" s="123" t="s">
        <v>329</v>
      </c>
      <c r="L30" s="44" t="s">
        <v>300</v>
      </c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73">
        <v>100</v>
      </c>
      <c r="AM30" s="17">
        <v>23</v>
      </c>
      <c r="AN30" s="18">
        <v>2017020019</v>
      </c>
      <c r="AO30" s="123" t="s">
        <v>327</v>
      </c>
      <c r="AP30" s="45">
        <v>60</v>
      </c>
      <c r="AQ30" s="45">
        <v>70</v>
      </c>
      <c r="AR30" s="45">
        <v>55</v>
      </c>
      <c r="AS30" s="45">
        <v>60</v>
      </c>
      <c r="AT30" s="45">
        <v>65</v>
      </c>
      <c r="AU30" s="45">
        <f t="shared" si="1"/>
        <v>62</v>
      </c>
      <c r="AV30" s="73">
        <v>62</v>
      </c>
    </row>
    <row r="31" ht="20.1" customHeight="1" spans="1:48">
      <c r="A31" s="17">
        <v>28</v>
      </c>
      <c r="B31" s="18">
        <v>2017020024</v>
      </c>
      <c r="C31" s="123" t="s">
        <v>332</v>
      </c>
      <c r="D31" s="20">
        <v>100</v>
      </c>
      <c r="E31" s="20">
        <v>96</v>
      </c>
      <c r="F31" s="20">
        <v>95</v>
      </c>
      <c r="G31" s="21">
        <f t="shared" si="0"/>
        <v>96.625</v>
      </c>
      <c r="I31" s="17">
        <v>26</v>
      </c>
      <c r="J31" s="18">
        <v>2017020022</v>
      </c>
      <c r="K31" s="123" t="s">
        <v>330</v>
      </c>
      <c r="L31" s="44" t="s">
        <v>300</v>
      </c>
      <c r="M31" s="45"/>
      <c r="N31" s="45"/>
      <c r="O31" s="45"/>
      <c r="P31" s="45"/>
      <c r="Q31" s="45"/>
      <c r="R31" s="45"/>
      <c r="S31" s="45"/>
      <c r="T31" s="45"/>
      <c r="U31" s="45"/>
      <c r="V31" s="57" t="s">
        <v>333</v>
      </c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73">
        <v>97</v>
      </c>
      <c r="AM31" s="17">
        <v>24</v>
      </c>
      <c r="AN31" s="18">
        <v>2017020020</v>
      </c>
      <c r="AO31" s="123" t="s">
        <v>328</v>
      </c>
      <c r="AP31" s="45">
        <v>90</v>
      </c>
      <c r="AQ31" s="45">
        <v>100</v>
      </c>
      <c r="AR31" s="45">
        <v>85</v>
      </c>
      <c r="AS31" s="45">
        <v>80</v>
      </c>
      <c r="AT31" s="45">
        <v>85</v>
      </c>
      <c r="AU31" s="45">
        <f t="shared" si="1"/>
        <v>94</v>
      </c>
      <c r="AV31" s="73">
        <v>89</v>
      </c>
    </row>
    <row r="32" ht="20.1" customHeight="1" spans="1:48">
      <c r="A32" s="17">
        <v>29</v>
      </c>
      <c r="B32" s="18">
        <v>2017020025</v>
      </c>
      <c r="C32" s="123" t="s">
        <v>334</v>
      </c>
      <c r="D32" s="20">
        <v>95</v>
      </c>
      <c r="E32" s="20">
        <v>64</v>
      </c>
      <c r="F32" s="20">
        <v>75</v>
      </c>
      <c r="G32" s="21">
        <f t="shared" si="0"/>
        <v>75.875</v>
      </c>
      <c r="I32" s="17">
        <v>27</v>
      </c>
      <c r="J32" s="18">
        <v>2017020023</v>
      </c>
      <c r="K32" s="123" t="s">
        <v>331</v>
      </c>
      <c r="L32" s="44" t="s">
        <v>300</v>
      </c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73">
        <v>100</v>
      </c>
      <c r="AM32" s="17">
        <v>25</v>
      </c>
      <c r="AN32" s="18">
        <v>2017020021</v>
      </c>
      <c r="AO32" s="123" t="s">
        <v>329</v>
      </c>
      <c r="AP32" s="45">
        <v>75</v>
      </c>
      <c r="AQ32" s="45">
        <v>80</v>
      </c>
      <c r="AR32" s="45">
        <v>65</v>
      </c>
      <c r="AS32" s="45">
        <v>70</v>
      </c>
      <c r="AT32" s="45">
        <v>75</v>
      </c>
      <c r="AU32" s="45">
        <f t="shared" si="1"/>
        <v>67</v>
      </c>
      <c r="AV32" s="73">
        <v>72</v>
      </c>
    </row>
    <row r="33" ht="20.1" customHeight="1" spans="1:48">
      <c r="A33" s="17">
        <v>30</v>
      </c>
      <c r="B33" s="18">
        <v>2017020027</v>
      </c>
      <c r="C33" s="123" t="s">
        <v>335</v>
      </c>
      <c r="D33" s="20">
        <v>100</v>
      </c>
      <c r="E33" s="20">
        <v>63</v>
      </c>
      <c r="F33" s="20">
        <v>80</v>
      </c>
      <c r="G33" s="21">
        <f t="shared" si="0"/>
        <v>78.625</v>
      </c>
      <c r="I33" s="17">
        <v>28</v>
      </c>
      <c r="J33" s="18">
        <v>2017020024</v>
      </c>
      <c r="K33" s="123" t="s">
        <v>332</v>
      </c>
      <c r="L33" s="44" t="s">
        <v>300</v>
      </c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73">
        <v>100</v>
      </c>
      <c r="AM33" s="17">
        <v>26</v>
      </c>
      <c r="AN33" s="18">
        <v>2017020022</v>
      </c>
      <c r="AO33" s="123" t="s">
        <v>330</v>
      </c>
      <c r="AP33" s="45">
        <v>85</v>
      </c>
      <c r="AQ33" s="45">
        <v>90</v>
      </c>
      <c r="AR33" s="45">
        <v>75</v>
      </c>
      <c r="AS33" s="45">
        <v>80</v>
      </c>
      <c r="AT33" s="45">
        <v>80</v>
      </c>
      <c r="AU33" s="45">
        <f t="shared" si="1"/>
        <v>82</v>
      </c>
      <c r="AV33" s="73">
        <v>82</v>
      </c>
    </row>
    <row r="34" ht="20.1" customHeight="1" spans="1:48">
      <c r="A34" s="17">
        <v>31</v>
      </c>
      <c r="B34" s="18">
        <v>2017020029</v>
      </c>
      <c r="C34" s="123" t="s">
        <v>336</v>
      </c>
      <c r="D34" s="20">
        <v>95</v>
      </c>
      <c r="E34" s="20">
        <v>98</v>
      </c>
      <c r="F34" s="20">
        <v>96</v>
      </c>
      <c r="G34" s="21">
        <f t="shared" si="0"/>
        <v>96.5</v>
      </c>
      <c r="I34" s="17">
        <v>29</v>
      </c>
      <c r="J34" s="18">
        <v>2017020025</v>
      </c>
      <c r="K34" s="123" t="s">
        <v>334</v>
      </c>
      <c r="L34" s="44" t="s">
        <v>300</v>
      </c>
      <c r="M34" s="45"/>
      <c r="N34" s="45"/>
      <c r="O34" s="45"/>
      <c r="P34" s="45"/>
      <c r="Q34" s="45"/>
      <c r="R34" s="45"/>
      <c r="S34" s="45"/>
      <c r="T34" s="45" t="s">
        <v>301</v>
      </c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73">
        <v>95</v>
      </c>
      <c r="AM34" s="17">
        <v>27</v>
      </c>
      <c r="AN34" s="18">
        <v>2017020023</v>
      </c>
      <c r="AO34" s="123" t="s">
        <v>331</v>
      </c>
      <c r="AP34" s="45">
        <v>90</v>
      </c>
      <c r="AQ34" s="45">
        <v>95</v>
      </c>
      <c r="AR34" s="45">
        <v>80</v>
      </c>
      <c r="AS34" s="45">
        <v>85</v>
      </c>
      <c r="AT34" s="45">
        <v>80</v>
      </c>
      <c r="AU34" s="45">
        <f t="shared" si="1"/>
        <v>92</v>
      </c>
      <c r="AV34" s="73">
        <v>87</v>
      </c>
    </row>
    <row r="35" ht="20.1" customHeight="1" spans="1:48">
      <c r="A35" s="17">
        <v>32</v>
      </c>
      <c r="B35" s="18">
        <v>2017020030</v>
      </c>
      <c r="C35" s="123" t="s">
        <v>337</v>
      </c>
      <c r="D35" s="20">
        <v>95</v>
      </c>
      <c r="E35" s="20">
        <v>82</v>
      </c>
      <c r="F35" s="20">
        <v>90</v>
      </c>
      <c r="G35" s="21">
        <f t="shared" si="0"/>
        <v>88.25</v>
      </c>
      <c r="I35" s="17">
        <v>30</v>
      </c>
      <c r="J35" s="18">
        <v>2017020027</v>
      </c>
      <c r="K35" s="123" t="s">
        <v>335</v>
      </c>
      <c r="L35" s="44" t="s">
        <v>300</v>
      </c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73">
        <v>100</v>
      </c>
      <c r="AM35" s="17">
        <v>28</v>
      </c>
      <c r="AN35" s="18">
        <v>2017020024</v>
      </c>
      <c r="AO35" s="123" t="s">
        <v>332</v>
      </c>
      <c r="AP35" s="45">
        <v>100</v>
      </c>
      <c r="AQ35" s="45">
        <v>100</v>
      </c>
      <c r="AR35" s="45">
        <v>95</v>
      </c>
      <c r="AS35" s="45">
        <v>100</v>
      </c>
      <c r="AT35" s="45">
        <v>90</v>
      </c>
      <c r="AU35" s="45">
        <f t="shared" si="1"/>
        <v>91</v>
      </c>
      <c r="AV35" s="73">
        <v>96</v>
      </c>
    </row>
    <row r="36" ht="20.1" customHeight="1" spans="1:48">
      <c r="A36" s="17">
        <v>33</v>
      </c>
      <c r="B36" s="18">
        <v>2017020031</v>
      </c>
      <c r="C36" s="123" t="s">
        <v>338</v>
      </c>
      <c r="D36" s="20">
        <v>100</v>
      </c>
      <c r="E36" s="20">
        <v>100</v>
      </c>
      <c r="F36" s="20">
        <v>98</v>
      </c>
      <c r="G36" s="21">
        <f t="shared" si="0"/>
        <v>99.25</v>
      </c>
      <c r="I36" s="17">
        <v>31</v>
      </c>
      <c r="J36" s="18">
        <v>2017020029</v>
      </c>
      <c r="K36" s="123" t="s">
        <v>336</v>
      </c>
      <c r="L36" s="44" t="s">
        <v>300</v>
      </c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73">
        <v>95</v>
      </c>
      <c r="AM36" s="17">
        <v>29</v>
      </c>
      <c r="AN36" s="18">
        <v>2017020025</v>
      </c>
      <c r="AO36" s="123" t="s">
        <v>334</v>
      </c>
      <c r="AP36" s="45">
        <v>60</v>
      </c>
      <c r="AQ36" s="45">
        <v>70</v>
      </c>
      <c r="AR36" s="45">
        <v>55</v>
      </c>
      <c r="AS36" s="45">
        <v>60</v>
      </c>
      <c r="AT36" s="45">
        <v>70</v>
      </c>
      <c r="AU36" s="45">
        <f t="shared" si="1"/>
        <v>69</v>
      </c>
      <c r="AV36" s="73">
        <v>64</v>
      </c>
    </row>
    <row r="37" ht="20.1" customHeight="1" spans="1:48">
      <c r="A37" s="17">
        <v>34</v>
      </c>
      <c r="B37" s="18">
        <v>2017020033</v>
      </c>
      <c r="C37" s="123" t="s">
        <v>339</v>
      </c>
      <c r="D37" s="20">
        <v>85</v>
      </c>
      <c r="E37" s="20">
        <v>58</v>
      </c>
      <c r="F37" s="20">
        <v>75</v>
      </c>
      <c r="G37" s="21">
        <f t="shared" si="0"/>
        <v>71.125</v>
      </c>
      <c r="I37" s="17">
        <v>32</v>
      </c>
      <c r="J37" s="18">
        <v>2017020030</v>
      </c>
      <c r="K37" s="123" t="s">
        <v>337</v>
      </c>
      <c r="L37" s="44" t="s">
        <v>300</v>
      </c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73">
        <v>95</v>
      </c>
      <c r="AM37" s="17">
        <v>30</v>
      </c>
      <c r="AN37" s="18">
        <v>2017020027</v>
      </c>
      <c r="AO37" s="123" t="s">
        <v>335</v>
      </c>
      <c r="AP37" s="45">
        <v>60</v>
      </c>
      <c r="AQ37" s="45">
        <v>65</v>
      </c>
      <c r="AR37" s="45">
        <v>50</v>
      </c>
      <c r="AS37" s="45">
        <v>75</v>
      </c>
      <c r="AT37" s="45">
        <v>60</v>
      </c>
      <c r="AU37" s="45">
        <f t="shared" si="1"/>
        <v>68</v>
      </c>
      <c r="AV37" s="73">
        <v>63</v>
      </c>
    </row>
    <row r="38" ht="20.1" customHeight="1" spans="1:48">
      <c r="A38" s="17">
        <v>35</v>
      </c>
      <c r="B38" s="18">
        <v>2017020034</v>
      </c>
      <c r="C38" s="123" t="s">
        <v>340</v>
      </c>
      <c r="D38" s="20">
        <v>100</v>
      </c>
      <c r="E38" s="20">
        <v>80</v>
      </c>
      <c r="F38" s="20">
        <v>90</v>
      </c>
      <c r="G38" s="21">
        <f t="shared" si="0"/>
        <v>88.75</v>
      </c>
      <c r="I38" s="17">
        <v>33</v>
      </c>
      <c r="J38" s="18">
        <v>2017020031</v>
      </c>
      <c r="K38" s="123" t="s">
        <v>338</v>
      </c>
      <c r="L38" s="44" t="s">
        <v>300</v>
      </c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73">
        <v>100</v>
      </c>
      <c r="AM38" s="17">
        <v>31</v>
      </c>
      <c r="AN38" s="18">
        <v>2017020029</v>
      </c>
      <c r="AO38" s="123" t="s">
        <v>336</v>
      </c>
      <c r="AP38" s="45">
        <v>100</v>
      </c>
      <c r="AQ38" s="45">
        <v>100</v>
      </c>
      <c r="AR38" s="45">
        <v>100</v>
      </c>
      <c r="AS38" s="45">
        <v>95</v>
      </c>
      <c r="AT38" s="45">
        <v>95</v>
      </c>
      <c r="AU38" s="45">
        <f t="shared" si="1"/>
        <v>98</v>
      </c>
      <c r="AV38" s="73">
        <v>98</v>
      </c>
    </row>
    <row r="39" ht="20.1" customHeight="1" spans="1:48">
      <c r="A39" s="17">
        <v>36</v>
      </c>
      <c r="B39" s="18">
        <v>2017020035</v>
      </c>
      <c r="C39" s="123" t="s">
        <v>341</v>
      </c>
      <c r="D39" s="20">
        <v>90</v>
      </c>
      <c r="E39" s="20">
        <v>65</v>
      </c>
      <c r="F39" s="20">
        <v>80</v>
      </c>
      <c r="G39" s="21">
        <f t="shared" si="0"/>
        <v>76.875</v>
      </c>
      <c r="I39" s="17">
        <v>34</v>
      </c>
      <c r="J39" s="18">
        <v>2017020033</v>
      </c>
      <c r="K39" s="123" t="s">
        <v>339</v>
      </c>
      <c r="L39" s="44" t="s">
        <v>300</v>
      </c>
      <c r="M39" s="45"/>
      <c r="N39" s="45" t="s">
        <v>301</v>
      </c>
      <c r="O39" s="45"/>
      <c r="P39" s="45"/>
      <c r="Q39" s="45"/>
      <c r="R39" s="45" t="s">
        <v>301</v>
      </c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 t="s">
        <v>301</v>
      </c>
      <c r="AH39" s="45"/>
      <c r="AI39" s="45"/>
      <c r="AJ39" s="73">
        <v>85</v>
      </c>
      <c r="AM39" s="17">
        <v>32</v>
      </c>
      <c r="AN39" s="18">
        <v>2017020030</v>
      </c>
      <c r="AO39" s="123" t="s">
        <v>337</v>
      </c>
      <c r="AP39" s="45">
        <v>90</v>
      </c>
      <c r="AQ39" s="45">
        <v>95</v>
      </c>
      <c r="AR39" s="45">
        <v>70</v>
      </c>
      <c r="AS39" s="45">
        <v>75</v>
      </c>
      <c r="AT39" s="45">
        <v>80</v>
      </c>
      <c r="AU39" s="45">
        <f t="shared" si="1"/>
        <v>82</v>
      </c>
      <c r="AV39" s="73">
        <v>82</v>
      </c>
    </row>
    <row r="40" ht="20.1" customHeight="1" spans="1:48">
      <c r="A40" s="17">
        <v>37</v>
      </c>
      <c r="B40" s="18">
        <v>2017020036</v>
      </c>
      <c r="C40" s="123" t="s">
        <v>342</v>
      </c>
      <c r="D40" s="20">
        <v>100</v>
      </c>
      <c r="E40" s="20">
        <v>90</v>
      </c>
      <c r="F40" s="20">
        <v>95</v>
      </c>
      <c r="G40" s="21">
        <f t="shared" si="0"/>
        <v>94.375</v>
      </c>
      <c r="I40" s="17">
        <v>35</v>
      </c>
      <c r="J40" s="18">
        <v>2017020034</v>
      </c>
      <c r="K40" s="123" t="s">
        <v>340</v>
      </c>
      <c r="L40" s="44" t="s">
        <v>300</v>
      </c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73">
        <v>100</v>
      </c>
      <c r="AM40" s="17">
        <v>33</v>
      </c>
      <c r="AN40" s="18">
        <v>2017020031</v>
      </c>
      <c r="AO40" s="123" t="s">
        <v>338</v>
      </c>
      <c r="AP40" s="45">
        <v>100</v>
      </c>
      <c r="AQ40" s="45">
        <v>100</v>
      </c>
      <c r="AR40" s="45">
        <v>100</v>
      </c>
      <c r="AS40" s="45">
        <v>100</v>
      </c>
      <c r="AT40" s="45">
        <v>100</v>
      </c>
      <c r="AU40" s="45">
        <f t="shared" si="1"/>
        <v>100</v>
      </c>
      <c r="AV40" s="73">
        <v>100</v>
      </c>
    </row>
    <row r="41" ht="20.1" customHeight="1" spans="1:48">
      <c r="A41" s="17">
        <v>38</v>
      </c>
      <c r="B41" s="18">
        <v>2017020037</v>
      </c>
      <c r="C41" s="123" t="s">
        <v>343</v>
      </c>
      <c r="D41" s="20">
        <v>95</v>
      </c>
      <c r="E41" s="20">
        <v>56</v>
      </c>
      <c r="F41" s="20">
        <v>70</v>
      </c>
      <c r="G41" s="21">
        <f t="shared" si="0"/>
        <v>71</v>
      </c>
      <c r="I41" s="17">
        <v>36</v>
      </c>
      <c r="J41" s="18">
        <v>2017020035</v>
      </c>
      <c r="K41" s="123" t="s">
        <v>341</v>
      </c>
      <c r="L41" s="44" t="s">
        <v>300</v>
      </c>
      <c r="M41" s="45"/>
      <c r="N41" s="45"/>
      <c r="O41" s="45"/>
      <c r="P41" s="45" t="s">
        <v>301</v>
      </c>
      <c r="Q41" s="45"/>
      <c r="R41" s="45"/>
      <c r="S41" s="45"/>
      <c r="T41" s="45"/>
      <c r="U41" s="45"/>
      <c r="V41" s="45"/>
      <c r="W41" s="45" t="s">
        <v>301</v>
      </c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73">
        <v>90</v>
      </c>
      <c r="AM41" s="17">
        <v>34</v>
      </c>
      <c r="AN41" s="18">
        <v>2017020033</v>
      </c>
      <c r="AO41" s="123" t="s">
        <v>339</v>
      </c>
      <c r="AP41" s="45">
        <v>100</v>
      </c>
      <c r="AQ41" s="45">
        <v>100</v>
      </c>
      <c r="AR41" s="45"/>
      <c r="AS41" s="45">
        <v>80</v>
      </c>
      <c r="AT41" s="45"/>
      <c r="AU41" s="45">
        <f t="shared" si="1"/>
        <v>68</v>
      </c>
      <c r="AV41" s="73">
        <v>58</v>
      </c>
    </row>
    <row r="42" ht="20.1" customHeight="1" spans="1:48">
      <c r="A42" s="17">
        <v>39</v>
      </c>
      <c r="B42" s="18">
        <v>2017020038</v>
      </c>
      <c r="C42" s="123" t="s">
        <v>344</v>
      </c>
      <c r="D42" s="20">
        <v>90</v>
      </c>
      <c r="E42" s="20">
        <v>48</v>
      </c>
      <c r="F42" s="20">
        <v>65</v>
      </c>
      <c r="G42" s="21">
        <f t="shared" si="0"/>
        <v>64.875</v>
      </c>
      <c r="I42" s="17">
        <v>37</v>
      </c>
      <c r="J42" s="18">
        <v>2017020036</v>
      </c>
      <c r="K42" s="123" t="s">
        <v>342</v>
      </c>
      <c r="L42" s="44" t="s">
        <v>300</v>
      </c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73">
        <v>100</v>
      </c>
      <c r="AM42" s="17">
        <v>35</v>
      </c>
      <c r="AN42" s="18">
        <v>2017020034</v>
      </c>
      <c r="AO42" s="123" t="s">
        <v>340</v>
      </c>
      <c r="AP42" s="45">
        <v>80</v>
      </c>
      <c r="AQ42" s="45">
        <v>90</v>
      </c>
      <c r="AR42" s="45">
        <v>70</v>
      </c>
      <c r="AS42" s="45">
        <v>75</v>
      </c>
      <c r="AT42" s="45">
        <v>80</v>
      </c>
      <c r="AU42" s="45">
        <f t="shared" si="1"/>
        <v>85</v>
      </c>
      <c r="AV42" s="73">
        <v>80</v>
      </c>
    </row>
    <row r="43" ht="20.1" customHeight="1" spans="1:48">
      <c r="A43" s="17">
        <v>40</v>
      </c>
      <c r="B43" s="18">
        <v>2017020039</v>
      </c>
      <c r="C43" s="123" t="s">
        <v>345</v>
      </c>
      <c r="D43" s="20">
        <v>90</v>
      </c>
      <c r="E43" s="20">
        <v>82</v>
      </c>
      <c r="F43" s="20">
        <v>80</v>
      </c>
      <c r="G43" s="21">
        <f t="shared" si="0"/>
        <v>83.25</v>
      </c>
      <c r="I43" s="17">
        <v>38</v>
      </c>
      <c r="J43" s="18">
        <v>2017020037</v>
      </c>
      <c r="K43" s="123" t="s">
        <v>343</v>
      </c>
      <c r="L43" s="44" t="s">
        <v>300</v>
      </c>
      <c r="M43" s="45"/>
      <c r="N43" s="45"/>
      <c r="O43" s="45" t="s">
        <v>301</v>
      </c>
      <c r="P43" s="45"/>
      <c r="Q43" s="45"/>
      <c r="R43" s="45"/>
      <c r="S43" s="45"/>
      <c r="T43" s="29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73">
        <v>95</v>
      </c>
      <c r="AM43" s="17">
        <v>36</v>
      </c>
      <c r="AN43" s="18">
        <v>2017020035</v>
      </c>
      <c r="AO43" s="123" t="s">
        <v>341</v>
      </c>
      <c r="AP43" s="45">
        <v>65</v>
      </c>
      <c r="AQ43" s="45">
        <v>70</v>
      </c>
      <c r="AR43" s="45">
        <v>60</v>
      </c>
      <c r="AS43" s="45">
        <v>65</v>
      </c>
      <c r="AT43" s="45">
        <v>60</v>
      </c>
      <c r="AU43" s="45">
        <f t="shared" si="1"/>
        <v>70</v>
      </c>
      <c r="AV43" s="73">
        <v>65</v>
      </c>
    </row>
    <row r="44" ht="20.1" customHeight="1" spans="1:48">
      <c r="A44" s="17">
        <v>41</v>
      </c>
      <c r="B44" s="18">
        <v>2017020040</v>
      </c>
      <c r="C44" s="123" t="s">
        <v>346</v>
      </c>
      <c r="D44" s="20">
        <v>95</v>
      </c>
      <c r="E44" s="20">
        <v>85</v>
      </c>
      <c r="F44" s="20">
        <v>90</v>
      </c>
      <c r="G44" s="21">
        <f t="shared" si="0"/>
        <v>89.375</v>
      </c>
      <c r="I44" s="17">
        <v>39</v>
      </c>
      <c r="J44" s="18">
        <v>2017020038</v>
      </c>
      <c r="K44" s="123" t="s">
        <v>344</v>
      </c>
      <c r="L44" s="44" t="s">
        <v>300</v>
      </c>
      <c r="M44" s="45"/>
      <c r="N44" s="45"/>
      <c r="O44" s="45" t="s">
        <v>301</v>
      </c>
      <c r="P44" s="45"/>
      <c r="Q44" s="45"/>
      <c r="R44" s="45"/>
      <c r="S44" s="45"/>
      <c r="T44" s="29"/>
      <c r="U44" s="45"/>
      <c r="V44" s="45"/>
      <c r="W44" s="45"/>
      <c r="X44" s="45"/>
      <c r="Y44" s="45"/>
      <c r="Z44" s="45"/>
      <c r="AA44" s="45"/>
      <c r="AB44" s="45" t="s">
        <v>301</v>
      </c>
      <c r="AC44" s="45"/>
      <c r="AD44" s="45"/>
      <c r="AE44" s="45"/>
      <c r="AF44" s="45"/>
      <c r="AG44" s="45"/>
      <c r="AH44" s="45"/>
      <c r="AI44" s="45"/>
      <c r="AJ44" s="73">
        <v>90</v>
      </c>
      <c r="AM44" s="17">
        <v>37</v>
      </c>
      <c r="AN44" s="18">
        <v>2017020036</v>
      </c>
      <c r="AO44" s="123" t="s">
        <v>342</v>
      </c>
      <c r="AP44" s="45">
        <v>90</v>
      </c>
      <c r="AQ44" s="45">
        <v>100</v>
      </c>
      <c r="AR44" s="45">
        <v>85</v>
      </c>
      <c r="AS44" s="45">
        <v>85</v>
      </c>
      <c r="AT44" s="45">
        <v>90</v>
      </c>
      <c r="AU44" s="45">
        <f t="shared" si="1"/>
        <v>90</v>
      </c>
      <c r="AV44" s="73">
        <v>90</v>
      </c>
    </row>
    <row r="45" ht="20.1" customHeight="1" spans="1:48">
      <c r="A45" s="17">
        <v>42</v>
      </c>
      <c r="B45" s="18">
        <v>2017020041</v>
      </c>
      <c r="C45" s="123" t="s">
        <v>347</v>
      </c>
      <c r="D45" s="20">
        <v>100</v>
      </c>
      <c r="E45" s="20">
        <v>74</v>
      </c>
      <c r="F45" s="20">
        <v>85</v>
      </c>
      <c r="G45" s="21">
        <f t="shared" si="0"/>
        <v>84.625</v>
      </c>
      <c r="I45" s="17">
        <v>40</v>
      </c>
      <c r="J45" s="18">
        <v>2017020039</v>
      </c>
      <c r="K45" s="123" t="s">
        <v>345</v>
      </c>
      <c r="L45" s="44" t="s">
        <v>300</v>
      </c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 t="s">
        <v>301</v>
      </c>
      <c r="X45" s="45"/>
      <c r="Y45" s="45"/>
      <c r="Z45" s="45"/>
      <c r="AA45" s="45"/>
      <c r="AB45" s="45" t="s">
        <v>301</v>
      </c>
      <c r="AC45" s="45"/>
      <c r="AD45" s="45"/>
      <c r="AE45" s="45"/>
      <c r="AF45" s="45"/>
      <c r="AG45" s="45"/>
      <c r="AH45" s="45"/>
      <c r="AI45" s="45"/>
      <c r="AJ45" s="73">
        <v>90</v>
      </c>
      <c r="AM45" s="17">
        <v>38</v>
      </c>
      <c r="AN45" s="18">
        <v>2017020037</v>
      </c>
      <c r="AO45" s="123" t="s">
        <v>343</v>
      </c>
      <c r="AP45" s="45">
        <v>55</v>
      </c>
      <c r="AQ45" s="45">
        <v>65</v>
      </c>
      <c r="AR45" s="45">
        <v>50</v>
      </c>
      <c r="AS45" s="45">
        <v>50</v>
      </c>
      <c r="AT45" s="45">
        <v>55</v>
      </c>
      <c r="AU45" s="45">
        <f t="shared" si="1"/>
        <v>61</v>
      </c>
      <c r="AV45" s="73">
        <v>56</v>
      </c>
    </row>
    <row r="46" ht="20.1" customHeight="1" spans="1:48">
      <c r="A46" s="17">
        <v>43</v>
      </c>
      <c r="B46" s="18">
        <v>2017020043</v>
      </c>
      <c r="C46" s="123" t="s">
        <v>348</v>
      </c>
      <c r="D46" s="20">
        <v>100</v>
      </c>
      <c r="E46" s="20">
        <v>78</v>
      </c>
      <c r="F46" s="20">
        <v>85</v>
      </c>
      <c r="G46" s="21">
        <f t="shared" si="0"/>
        <v>86.125</v>
      </c>
      <c r="I46" s="17">
        <v>41</v>
      </c>
      <c r="J46" s="18">
        <v>2017020040</v>
      </c>
      <c r="K46" s="123" t="s">
        <v>346</v>
      </c>
      <c r="L46" s="44" t="s">
        <v>300</v>
      </c>
      <c r="M46" s="45"/>
      <c r="N46" s="45"/>
      <c r="O46" s="45"/>
      <c r="P46" s="45"/>
      <c r="Q46" s="45"/>
      <c r="R46" s="45" t="s">
        <v>301</v>
      </c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73">
        <v>95</v>
      </c>
      <c r="AM46" s="17">
        <v>39</v>
      </c>
      <c r="AN46" s="18">
        <v>2017020038</v>
      </c>
      <c r="AO46" s="123" t="s">
        <v>344</v>
      </c>
      <c r="AP46" s="45">
        <v>60</v>
      </c>
      <c r="AQ46" s="45">
        <v>70</v>
      </c>
      <c r="AR46" s="45"/>
      <c r="AS46" s="45"/>
      <c r="AT46" s="45">
        <v>75</v>
      </c>
      <c r="AU46" s="45">
        <f t="shared" si="1"/>
        <v>83</v>
      </c>
      <c r="AV46" s="73">
        <v>48</v>
      </c>
    </row>
    <row r="47" ht="20.1" customHeight="1" spans="1:48">
      <c r="A47" s="17">
        <v>44</v>
      </c>
      <c r="B47" s="18">
        <v>2017020044</v>
      </c>
      <c r="C47" s="123" t="s">
        <v>349</v>
      </c>
      <c r="D47" s="20">
        <v>100</v>
      </c>
      <c r="E47" s="20">
        <v>88</v>
      </c>
      <c r="F47" s="20">
        <v>90</v>
      </c>
      <c r="G47" s="21">
        <f t="shared" si="0"/>
        <v>91.75</v>
      </c>
      <c r="I47" s="17">
        <v>42</v>
      </c>
      <c r="J47" s="18">
        <v>2017020041</v>
      </c>
      <c r="K47" s="123" t="s">
        <v>347</v>
      </c>
      <c r="L47" s="44" t="s">
        <v>300</v>
      </c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73">
        <v>100</v>
      </c>
      <c r="AM47" s="17">
        <v>40</v>
      </c>
      <c r="AN47" s="18">
        <v>2017020039</v>
      </c>
      <c r="AO47" s="123" t="s">
        <v>345</v>
      </c>
      <c r="AP47" s="45">
        <v>85</v>
      </c>
      <c r="AQ47" s="45">
        <v>100</v>
      </c>
      <c r="AR47" s="45">
        <v>65</v>
      </c>
      <c r="AS47" s="45">
        <v>75</v>
      </c>
      <c r="AT47" s="45">
        <v>80</v>
      </c>
      <c r="AU47" s="45">
        <f t="shared" si="1"/>
        <v>87</v>
      </c>
      <c r="AV47" s="73">
        <v>82</v>
      </c>
    </row>
    <row r="48" ht="20.1" customHeight="1" spans="1:48">
      <c r="A48" s="17">
        <v>45</v>
      </c>
      <c r="B48" s="18">
        <v>2017020046</v>
      </c>
      <c r="C48" s="123" t="s">
        <v>350</v>
      </c>
      <c r="D48" s="20">
        <v>100</v>
      </c>
      <c r="E48" s="20">
        <v>92</v>
      </c>
      <c r="F48" s="20">
        <v>95</v>
      </c>
      <c r="G48" s="21">
        <f t="shared" si="0"/>
        <v>95.125</v>
      </c>
      <c r="I48" s="17">
        <v>43</v>
      </c>
      <c r="J48" s="18">
        <v>2017020043</v>
      </c>
      <c r="K48" s="123" t="s">
        <v>348</v>
      </c>
      <c r="L48" s="44" t="s">
        <v>300</v>
      </c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73">
        <v>100</v>
      </c>
      <c r="AM48" s="17">
        <v>41</v>
      </c>
      <c r="AN48" s="18">
        <v>2017020040</v>
      </c>
      <c r="AO48" s="123" t="s">
        <v>346</v>
      </c>
      <c r="AP48" s="45">
        <v>90</v>
      </c>
      <c r="AQ48" s="45">
        <v>100</v>
      </c>
      <c r="AR48" s="45">
        <v>75</v>
      </c>
      <c r="AS48" s="45">
        <v>80</v>
      </c>
      <c r="AT48" s="45">
        <v>80</v>
      </c>
      <c r="AU48" s="45">
        <f t="shared" si="1"/>
        <v>85</v>
      </c>
      <c r="AV48" s="73">
        <v>85</v>
      </c>
    </row>
    <row r="49" ht="20.1" customHeight="1" spans="1:48">
      <c r="A49" s="17">
        <v>46</v>
      </c>
      <c r="B49" s="18">
        <v>2017020047</v>
      </c>
      <c r="C49" s="123" t="s">
        <v>351</v>
      </c>
      <c r="D49" s="20">
        <v>100</v>
      </c>
      <c r="E49" s="20">
        <v>76</v>
      </c>
      <c r="F49" s="20">
        <v>85</v>
      </c>
      <c r="G49" s="21">
        <f t="shared" si="0"/>
        <v>85.375</v>
      </c>
      <c r="I49" s="17">
        <v>44</v>
      </c>
      <c r="J49" s="18">
        <v>2017020044</v>
      </c>
      <c r="K49" s="123" t="s">
        <v>349</v>
      </c>
      <c r="L49" s="44" t="s">
        <v>300</v>
      </c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73">
        <v>100</v>
      </c>
      <c r="AM49" s="17">
        <v>42</v>
      </c>
      <c r="AN49" s="18">
        <v>2017020041</v>
      </c>
      <c r="AO49" s="123" t="s">
        <v>347</v>
      </c>
      <c r="AP49" s="45">
        <v>85</v>
      </c>
      <c r="AQ49" s="45">
        <v>90</v>
      </c>
      <c r="AR49" s="45">
        <v>60</v>
      </c>
      <c r="AS49" s="45">
        <v>65</v>
      </c>
      <c r="AT49" s="45">
        <v>70</v>
      </c>
      <c r="AU49" s="45">
        <f t="shared" si="1"/>
        <v>74</v>
      </c>
      <c r="AV49" s="73">
        <v>74</v>
      </c>
    </row>
    <row r="50" ht="20.1" customHeight="1" spans="1:48">
      <c r="A50" s="17">
        <v>47</v>
      </c>
      <c r="B50" s="18">
        <v>2017020048</v>
      </c>
      <c r="C50" s="123" t="s">
        <v>352</v>
      </c>
      <c r="D50" s="20">
        <v>100</v>
      </c>
      <c r="E50" s="20">
        <v>92</v>
      </c>
      <c r="F50" s="20">
        <v>95</v>
      </c>
      <c r="G50" s="21">
        <f t="shared" si="0"/>
        <v>95.125</v>
      </c>
      <c r="I50" s="17">
        <v>45</v>
      </c>
      <c r="J50" s="18">
        <v>2017020046</v>
      </c>
      <c r="K50" s="123" t="s">
        <v>350</v>
      </c>
      <c r="L50" s="44" t="s">
        <v>300</v>
      </c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73">
        <v>100</v>
      </c>
      <c r="AM50" s="17">
        <v>43</v>
      </c>
      <c r="AN50" s="18">
        <v>2017020043</v>
      </c>
      <c r="AO50" s="123" t="s">
        <v>348</v>
      </c>
      <c r="AP50" s="45">
        <v>80</v>
      </c>
      <c r="AQ50" s="45">
        <v>90</v>
      </c>
      <c r="AR50" s="45">
        <v>65</v>
      </c>
      <c r="AS50" s="45">
        <v>60</v>
      </c>
      <c r="AT50" s="45">
        <v>80</v>
      </c>
      <c r="AU50" s="45">
        <f t="shared" si="1"/>
        <v>93</v>
      </c>
      <c r="AV50" s="73">
        <v>78</v>
      </c>
    </row>
    <row r="51" ht="20.1" customHeight="1" spans="1:48">
      <c r="A51" s="22">
        <v>48</v>
      </c>
      <c r="B51" s="18">
        <v>2017020049</v>
      </c>
      <c r="C51" s="123" t="s">
        <v>353</v>
      </c>
      <c r="D51" s="20">
        <v>100</v>
      </c>
      <c r="E51" s="20">
        <v>78</v>
      </c>
      <c r="F51" s="20">
        <v>90</v>
      </c>
      <c r="G51" s="21">
        <f t="shared" si="0"/>
        <v>88</v>
      </c>
      <c r="I51" s="17">
        <v>46</v>
      </c>
      <c r="J51" s="18">
        <v>2017020047</v>
      </c>
      <c r="K51" s="123" t="s">
        <v>351</v>
      </c>
      <c r="L51" s="44" t="s">
        <v>300</v>
      </c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73">
        <v>100</v>
      </c>
      <c r="AM51" s="17">
        <v>44</v>
      </c>
      <c r="AN51" s="18">
        <v>2017020044</v>
      </c>
      <c r="AO51" s="123" t="s">
        <v>349</v>
      </c>
      <c r="AP51" s="45">
        <v>90</v>
      </c>
      <c r="AQ51" s="45">
        <v>100</v>
      </c>
      <c r="AR51" s="45">
        <v>80</v>
      </c>
      <c r="AS51" s="45">
        <v>80</v>
      </c>
      <c r="AT51" s="45">
        <v>85</v>
      </c>
      <c r="AU51" s="45">
        <f t="shared" si="1"/>
        <v>93</v>
      </c>
      <c r="AV51" s="73">
        <v>88</v>
      </c>
    </row>
    <row r="52" ht="20.1" customHeight="1" spans="1:48">
      <c r="A52" s="23">
        <v>49</v>
      </c>
      <c r="B52" s="24">
        <v>2017020050</v>
      </c>
      <c r="C52" s="125" t="s">
        <v>354</v>
      </c>
      <c r="D52" s="26">
        <v>97</v>
      </c>
      <c r="E52" s="26">
        <v>95</v>
      </c>
      <c r="F52" s="26">
        <v>96</v>
      </c>
      <c r="G52" s="27">
        <f t="shared" si="0"/>
        <v>95.875</v>
      </c>
      <c r="I52" s="17">
        <v>47</v>
      </c>
      <c r="J52" s="18">
        <v>2017020048</v>
      </c>
      <c r="K52" s="123" t="s">
        <v>352</v>
      </c>
      <c r="L52" s="44" t="s">
        <v>300</v>
      </c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73">
        <v>100</v>
      </c>
      <c r="AM52" s="17">
        <v>45</v>
      </c>
      <c r="AN52" s="18">
        <v>2017020046</v>
      </c>
      <c r="AO52" s="123" t="s">
        <v>350</v>
      </c>
      <c r="AP52" s="45">
        <v>95</v>
      </c>
      <c r="AQ52" s="45">
        <v>100</v>
      </c>
      <c r="AR52" s="45">
        <v>85</v>
      </c>
      <c r="AS52" s="45">
        <v>90</v>
      </c>
      <c r="AT52" s="45">
        <v>90</v>
      </c>
      <c r="AU52" s="45">
        <f t="shared" si="1"/>
        <v>92</v>
      </c>
      <c r="AV52" s="73">
        <v>92</v>
      </c>
    </row>
    <row r="53" ht="20.1" customHeight="1" spans="1:48">
      <c r="A53" s="28"/>
      <c r="B53" s="29"/>
      <c r="C53" s="29"/>
      <c r="D53" s="29"/>
      <c r="E53" s="29"/>
      <c r="F53" s="29"/>
      <c r="G53" s="30"/>
      <c r="I53" s="17">
        <v>48</v>
      </c>
      <c r="J53" s="18">
        <v>2017020049</v>
      </c>
      <c r="K53" s="123" t="s">
        <v>353</v>
      </c>
      <c r="L53" s="44" t="s">
        <v>300</v>
      </c>
      <c r="M53" s="46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73">
        <v>100</v>
      </c>
      <c r="AM53" s="17">
        <v>46</v>
      </c>
      <c r="AN53" s="18">
        <v>2017020047</v>
      </c>
      <c r="AO53" s="123" t="s">
        <v>351</v>
      </c>
      <c r="AP53" s="45">
        <v>85</v>
      </c>
      <c r="AQ53" s="45">
        <v>90</v>
      </c>
      <c r="AR53" s="45">
        <v>60</v>
      </c>
      <c r="AS53" s="45">
        <v>65</v>
      </c>
      <c r="AT53" s="45">
        <v>80</v>
      </c>
      <c r="AU53" s="45">
        <f t="shared" si="1"/>
        <v>76</v>
      </c>
      <c r="AV53" s="73">
        <v>76</v>
      </c>
    </row>
    <row r="54" ht="20.1" customHeight="1" spans="1:48">
      <c r="A54" s="31" t="s">
        <v>81</v>
      </c>
      <c r="B54" s="31"/>
      <c r="C54" s="31"/>
      <c r="D54" s="31"/>
      <c r="E54" s="31"/>
      <c r="F54" s="31"/>
      <c r="G54" s="31"/>
      <c r="I54" s="47">
        <v>49</v>
      </c>
      <c r="J54" s="24">
        <v>2017020050</v>
      </c>
      <c r="K54" s="125" t="s">
        <v>354</v>
      </c>
      <c r="L54" s="48" t="s">
        <v>300</v>
      </c>
      <c r="M54" s="49"/>
      <c r="N54" s="50"/>
      <c r="O54" s="50"/>
      <c r="P54" s="50"/>
      <c r="Q54" s="50"/>
      <c r="R54" s="50"/>
      <c r="S54" s="58" t="s">
        <v>333</v>
      </c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76">
        <v>97</v>
      </c>
      <c r="AM54" s="17">
        <v>47</v>
      </c>
      <c r="AN54" s="18">
        <v>2017020048</v>
      </c>
      <c r="AO54" s="123" t="s">
        <v>352</v>
      </c>
      <c r="AP54" s="45">
        <v>95</v>
      </c>
      <c r="AQ54" s="45">
        <v>100</v>
      </c>
      <c r="AR54" s="45">
        <v>85</v>
      </c>
      <c r="AS54" s="45">
        <v>90</v>
      </c>
      <c r="AT54" s="45">
        <v>90</v>
      </c>
      <c r="AU54" s="45">
        <f t="shared" si="1"/>
        <v>92</v>
      </c>
      <c r="AV54" s="73">
        <v>92</v>
      </c>
    </row>
    <row r="55" ht="22.5" customHeight="1" spans="1:48">
      <c r="A55" s="32" t="s">
        <v>82</v>
      </c>
      <c r="B55" s="32"/>
      <c r="C55" s="32"/>
      <c r="D55" s="32"/>
      <c r="E55" s="32"/>
      <c r="F55" s="32"/>
      <c r="G55" s="32"/>
      <c r="AM55" s="17">
        <v>48</v>
      </c>
      <c r="AN55" s="18">
        <v>2017020049</v>
      </c>
      <c r="AO55" s="123" t="s">
        <v>353</v>
      </c>
      <c r="AP55" s="45">
        <v>85</v>
      </c>
      <c r="AQ55" s="45">
        <v>90</v>
      </c>
      <c r="AR55" s="45">
        <v>65</v>
      </c>
      <c r="AS55" s="45">
        <v>70</v>
      </c>
      <c r="AT55" s="45">
        <v>80</v>
      </c>
      <c r="AU55" s="45">
        <f t="shared" si="1"/>
        <v>78</v>
      </c>
      <c r="AV55" s="73">
        <v>78</v>
      </c>
    </row>
    <row r="56" ht="25.5" customHeight="1" spans="1:48">
      <c r="A56" s="32" t="s">
        <v>83</v>
      </c>
      <c r="B56" s="32"/>
      <c r="C56" s="32"/>
      <c r="D56" s="32"/>
      <c r="E56" s="32"/>
      <c r="F56" s="32"/>
      <c r="G56" s="32"/>
      <c r="I56" s="51" t="s">
        <v>84</v>
      </c>
      <c r="J56" s="51"/>
      <c r="AM56" s="47">
        <v>49</v>
      </c>
      <c r="AN56" s="24">
        <v>2017020050</v>
      </c>
      <c r="AO56" s="125" t="s">
        <v>354</v>
      </c>
      <c r="AP56" s="50">
        <v>95</v>
      </c>
      <c r="AQ56" s="50">
        <v>100</v>
      </c>
      <c r="AR56" s="50">
        <v>90</v>
      </c>
      <c r="AS56" s="50">
        <v>100</v>
      </c>
      <c r="AT56" s="50">
        <v>90</v>
      </c>
      <c r="AU56" s="45">
        <f t="shared" si="1"/>
        <v>95</v>
      </c>
      <c r="AV56" s="76">
        <v>95</v>
      </c>
    </row>
    <row r="57" ht="25.5" customHeight="1" spans="1:48">
      <c r="A57" s="32" t="s">
        <v>85</v>
      </c>
      <c r="B57" s="32"/>
      <c r="C57" s="32"/>
      <c r="D57" s="32"/>
      <c r="E57" s="32"/>
      <c r="F57" s="32"/>
      <c r="G57" s="32"/>
      <c r="I57" s="52" t="s">
        <v>86</v>
      </c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M57" s="77"/>
      <c r="AN57" s="78"/>
      <c r="AO57" s="91"/>
      <c r="AP57" s="92"/>
      <c r="AQ57" s="92"/>
      <c r="AR57" s="92"/>
      <c r="AS57" s="92"/>
      <c r="AT57" s="92"/>
      <c r="AU57" s="92"/>
      <c r="AV57" s="92"/>
    </row>
    <row r="58" ht="25.5" customHeight="1" spans="1:48">
      <c r="A58" s="33" t="s">
        <v>87</v>
      </c>
      <c r="B58" s="33"/>
      <c r="C58" s="33"/>
      <c r="D58" s="33"/>
      <c r="E58" s="33"/>
      <c r="F58" s="33"/>
      <c r="G58" s="33"/>
      <c r="I58" s="52" t="s">
        <v>355</v>
      </c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M58" s="79" t="s">
        <v>89</v>
      </c>
      <c r="AN58" s="79"/>
      <c r="AO58" s="79"/>
      <c r="AP58" s="79"/>
      <c r="AQ58" s="79"/>
      <c r="AR58" s="79"/>
      <c r="AS58" s="79"/>
      <c r="AT58" s="79"/>
      <c r="AU58" s="79"/>
      <c r="AV58" s="79"/>
    </row>
    <row r="59" ht="31.5" customHeight="1" spans="9:48">
      <c r="I59" s="53" t="s">
        <v>356</v>
      </c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M59" s="80" t="s">
        <v>91</v>
      </c>
      <c r="AN59" s="80"/>
      <c r="AO59" s="80"/>
      <c r="AP59" s="80"/>
      <c r="AQ59" s="80"/>
      <c r="AR59" s="80"/>
      <c r="AS59" s="80"/>
      <c r="AT59" s="80"/>
      <c r="AU59" s="80"/>
      <c r="AV59" s="80"/>
    </row>
    <row r="60" ht="18" customHeight="1" spans="9:48">
      <c r="I60" s="53" t="s">
        <v>92</v>
      </c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M60" s="81" t="s">
        <v>93</v>
      </c>
      <c r="AN60" s="81"/>
      <c r="AO60" s="81"/>
      <c r="AP60" s="81"/>
      <c r="AQ60" s="81"/>
      <c r="AR60" s="81"/>
      <c r="AS60" s="81"/>
      <c r="AT60" s="81"/>
      <c r="AU60" s="81"/>
      <c r="AV60" s="81"/>
    </row>
    <row r="61" ht="19.5" customHeight="1" spans="9:48">
      <c r="I61" s="54" t="s">
        <v>94</v>
      </c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M61" s="81" t="s">
        <v>95</v>
      </c>
      <c r="AN61" s="81"/>
      <c r="AO61" s="81"/>
      <c r="AP61" s="81"/>
      <c r="AQ61" s="81"/>
      <c r="AR61" s="81"/>
      <c r="AS61" s="81"/>
      <c r="AT61" s="81"/>
      <c r="AU61" s="81"/>
      <c r="AV61" s="81"/>
    </row>
    <row r="62" ht="20.25" customHeight="1" spans="9:48">
      <c r="I62" s="55" t="s">
        <v>96</v>
      </c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M62" s="81" t="s">
        <v>97</v>
      </c>
      <c r="AN62" s="81"/>
      <c r="AO62" s="81"/>
      <c r="AP62" s="81"/>
      <c r="AQ62" s="81"/>
      <c r="AR62" s="81"/>
      <c r="AS62" s="81"/>
      <c r="AT62" s="81"/>
      <c r="AU62" s="81"/>
      <c r="AV62" s="81"/>
    </row>
    <row r="63" ht="19.5" customHeight="1" spans="9:48">
      <c r="I63" s="33" t="s">
        <v>357</v>
      </c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M63" s="82" t="s">
        <v>99</v>
      </c>
      <c r="AN63" s="83"/>
      <c r="AO63" s="83"/>
      <c r="AP63" s="83"/>
      <c r="AQ63" s="83"/>
      <c r="AR63" s="83"/>
      <c r="AS63" s="83"/>
      <c r="AT63" s="83"/>
      <c r="AU63" s="83"/>
      <c r="AV63" s="83"/>
    </row>
  </sheetData>
  <mergeCells count="48">
    <mergeCell ref="A1:G1"/>
    <mergeCell ref="I1:AJ1"/>
    <mergeCell ref="AM1:AV1"/>
    <mergeCell ref="A2:G2"/>
    <mergeCell ref="I2:J2"/>
    <mergeCell ref="M2:N2"/>
    <mergeCell ref="O2:Q2"/>
    <mergeCell ref="R2:AB2"/>
    <mergeCell ref="AC2:AF2"/>
    <mergeCell ref="AG2:AJ2"/>
    <mergeCell ref="AM2:AV2"/>
    <mergeCell ref="I3:J3"/>
    <mergeCell ref="M3:Q3"/>
    <mergeCell ref="R3:U3"/>
    <mergeCell ref="V3:AB3"/>
    <mergeCell ref="AC3:AF3"/>
    <mergeCell ref="AG3:AJ3"/>
    <mergeCell ref="AM3:AV3"/>
    <mergeCell ref="M4:AI4"/>
    <mergeCell ref="AP4:AU4"/>
    <mergeCell ref="AP6:AU6"/>
    <mergeCell ref="A54:G54"/>
    <mergeCell ref="A55:G55"/>
    <mergeCell ref="A56:G56"/>
    <mergeCell ref="A57:G57"/>
    <mergeCell ref="I57:AJ57"/>
    <mergeCell ref="A58:G58"/>
    <mergeCell ref="I58:AJ58"/>
    <mergeCell ref="AM58:AV58"/>
    <mergeCell ref="I59:AJ59"/>
    <mergeCell ref="AM59:AV59"/>
    <mergeCell ref="I60:AJ60"/>
    <mergeCell ref="AM60:AV60"/>
    <mergeCell ref="I61:AJ61"/>
    <mergeCell ref="AM61:AV61"/>
    <mergeCell ref="I62:AJ62"/>
    <mergeCell ref="AM62:AV62"/>
    <mergeCell ref="I63:AJ63"/>
    <mergeCell ref="AM63:AV63"/>
    <mergeCell ref="I4:I5"/>
    <mergeCell ref="J4:J5"/>
    <mergeCell ref="K4:K5"/>
    <mergeCell ref="L4:L5"/>
    <mergeCell ref="AJ4:AJ5"/>
    <mergeCell ref="AM4:AM7"/>
    <mergeCell ref="AN4:AN7"/>
    <mergeCell ref="AO4:AO7"/>
    <mergeCell ref="AV4:AV6"/>
  </mergeCells>
  <pageMargins left="0.7" right="0.7" top="0.75" bottom="0.75" header="0.3" footer="0.3"/>
  <pageSetup paperSize="9" orientation="portrait"/>
  <headerFooter>
    <oddFooter>&amp;C第 &amp;P 页，共 &amp;N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G64"/>
  <sheetViews>
    <sheetView tabSelected="1" topLeftCell="A46" workbookViewId="0">
      <selection activeCell="F68" sqref="F68"/>
    </sheetView>
  </sheetViews>
  <sheetFormatPr defaultColWidth="9" defaultRowHeight="13.5" outlineLevelCol="6"/>
  <cols>
    <col min="1" max="1" width="7.12389380530973" style="1" customWidth="1"/>
    <col min="2" max="2" width="12.7522123893805" style="1" customWidth="1"/>
    <col min="3" max="3" width="11.3716814159292" style="1" customWidth="1"/>
    <col min="4" max="4" width="10.7522123893805" style="1" customWidth="1"/>
    <col min="5" max="16384" width="9" style="1"/>
  </cols>
  <sheetData>
    <row r="1" ht="41.25" customHeight="1" spans="1:7">
      <c r="A1" s="2" t="s">
        <v>358</v>
      </c>
      <c r="B1" s="2"/>
      <c r="C1" s="2"/>
      <c r="D1" s="2"/>
      <c r="E1" s="3"/>
      <c r="F1" s="3"/>
      <c r="G1" s="3"/>
    </row>
    <row r="2" ht="14.25" spans="1:7">
      <c r="A2" s="3"/>
      <c r="B2" s="3"/>
      <c r="C2" s="3"/>
      <c r="D2" s="3"/>
      <c r="E2" s="3"/>
      <c r="F2" s="3"/>
      <c r="G2" s="3"/>
    </row>
    <row r="3" ht="14.25" spans="1:7">
      <c r="A3" s="4" t="s">
        <v>12</v>
      </c>
      <c r="B3" s="4" t="s">
        <v>359</v>
      </c>
      <c r="C3" s="4" t="s">
        <v>360</v>
      </c>
      <c r="D3" s="4" t="s">
        <v>361</v>
      </c>
      <c r="E3" s="3"/>
      <c r="F3" s="3"/>
      <c r="G3" s="3"/>
    </row>
    <row r="4" spans="1:7">
      <c r="A4" s="3">
        <v>1</v>
      </c>
      <c r="B4" s="3">
        <v>9.98</v>
      </c>
      <c r="C4" s="3">
        <v>0.27</v>
      </c>
      <c r="D4" s="3">
        <v>2.7e-5</v>
      </c>
      <c r="E4" s="3"/>
      <c r="F4" s="3"/>
      <c r="G4" s="3"/>
    </row>
    <row r="5" spans="1:7">
      <c r="A5" s="3">
        <v>2</v>
      </c>
      <c r="B5" s="3">
        <v>10.97</v>
      </c>
      <c r="C5" s="3">
        <v>0.22</v>
      </c>
      <c r="D5" s="3">
        <v>2.2e-5</v>
      </c>
      <c r="E5" s="3"/>
      <c r="F5" s="3"/>
      <c r="G5" s="3"/>
    </row>
    <row r="6" spans="1:7">
      <c r="A6" s="3">
        <v>3</v>
      </c>
      <c r="B6" s="5">
        <v>15.4</v>
      </c>
      <c r="C6" s="5">
        <v>0.3</v>
      </c>
      <c r="D6" s="3">
        <v>3e-5</v>
      </c>
      <c r="E6" s="3"/>
      <c r="F6" s="3"/>
      <c r="G6" s="3"/>
    </row>
    <row r="7" spans="1:7">
      <c r="A7" s="3">
        <v>4</v>
      </c>
      <c r="B7" s="3">
        <v>15.69</v>
      </c>
      <c r="C7" s="3">
        <v>0.03</v>
      </c>
      <c r="D7" s="3">
        <v>3e-6</v>
      </c>
      <c r="E7" s="3"/>
      <c r="F7" s="3"/>
      <c r="G7" s="3"/>
    </row>
    <row r="8" spans="1:7">
      <c r="A8" s="3">
        <v>5</v>
      </c>
      <c r="B8" s="3">
        <v>16.44</v>
      </c>
      <c r="C8" s="3">
        <v>0.21</v>
      </c>
      <c r="D8" s="3">
        <v>2.1e-5</v>
      </c>
      <c r="E8" s="3"/>
      <c r="F8" s="3"/>
      <c r="G8" s="3"/>
    </row>
    <row r="9" spans="1:7">
      <c r="A9" s="3">
        <v>6</v>
      </c>
      <c r="B9" s="3">
        <v>17.11</v>
      </c>
      <c r="C9" s="3">
        <v>0.89</v>
      </c>
      <c r="D9" s="3">
        <v>8.9e-5</v>
      </c>
      <c r="E9" s="3"/>
      <c r="F9" s="3"/>
      <c r="G9" s="3"/>
    </row>
    <row r="10" spans="1:7">
      <c r="A10" s="3">
        <v>7</v>
      </c>
      <c r="B10" s="3">
        <v>18.66</v>
      </c>
      <c r="C10" s="3">
        <v>0.19</v>
      </c>
      <c r="D10" s="3">
        <v>1.9e-5</v>
      </c>
      <c r="E10" s="3"/>
      <c r="F10" s="3"/>
      <c r="G10" s="3"/>
    </row>
    <row r="11" spans="1:7">
      <c r="A11" s="3">
        <v>8</v>
      </c>
      <c r="B11" s="3">
        <v>19.04</v>
      </c>
      <c r="C11" s="3">
        <v>0.79</v>
      </c>
      <c r="D11" s="3">
        <v>7.9e-5</v>
      </c>
      <c r="E11" s="3"/>
      <c r="F11" s="3"/>
      <c r="G11" s="3"/>
    </row>
    <row r="12" spans="1:7">
      <c r="A12" s="3">
        <v>9</v>
      </c>
      <c r="B12" s="3">
        <v>20.29</v>
      </c>
      <c r="C12" s="3">
        <v>0.08</v>
      </c>
      <c r="D12" s="3">
        <v>8e-6</v>
      </c>
      <c r="E12" s="3"/>
      <c r="F12" s="3"/>
      <c r="G12" s="3"/>
    </row>
    <row r="13" spans="1:7">
      <c r="A13" s="3">
        <v>10</v>
      </c>
      <c r="B13" s="3">
        <v>21.52</v>
      </c>
      <c r="C13" s="3">
        <v>0.07</v>
      </c>
      <c r="D13" s="3">
        <v>7e-6</v>
      </c>
      <c r="E13" s="3"/>
      <c r="F13" s="3"/>
      <c r="G13" s="3"/>
    </row>
    <row r="14" spans="1:7">
      <c r="A14" s="3">
        <v>11</v>
      </c>
      <c r="B14" s="3">
        <v>23.41</v>
      </c>
      <c r="C14" s="3">
        <v>1.61</v>
      </c>
      <c r="D14" s="3">
        <v>0.000161</v>
      </c>
      <c r="E14" s="3"/>
      <c r="F14" s="3"/>
      <c r="G14" s="3"/>
    </row>
    <row r="15" spans="1:7">
      <c r="A15" s="3">
        <v>12</v>
      </c>
      <c r="B15" s="3">
        <v>24.82</v>
      </c>
      <c r="C15" s="3">
        <v>0.77</v>
      </c>
      <c r="D15" s="3">
        <v>7.7e-5</v>
      </c>
      <c r="E15" s="3"/>
      <c r="F15" s="3"/>
      <c r="G15" s="3"/>
    </row>
    <row r="16" spans="1:7">
      <c r="A16" s="3">
        <v>13</v>
      </c>
      <c r="B16" s="3">
        <v>25.15</v>
      </c>
      <c r="C16" s="3">
        <v>0.76</v>
      </c>
      <c r="D16" s="3">
        <v>7.6e-5</v>
      </c>
      <c r="E16" s="3"/>
      <c r="F16" s="3"/>
      <c r="G16" s="3"/>
    </row>
    <row r="17" spans="1:7">
      <c r="A17" s="3">
        <v>14</v>
      </c>
      <c r="B17" s="3">
        <v>26.35</v>
      </c>
      <c r="C17" s="3">
        <v>1.91</v>
      </c>
      <c r="D17" s="3">
        <v>0.000191</v>
      </c>
      <c r="E17" s="3"/>
      <c r="F17" s="3"/>
      <c r="G17" s="3"/>
    </row>
    <row r="18" spans="1:7">
      <c r="A18" s="3">
        <v>15</v>
      </c>
      <c r="B18" s="3">
        <v>27.02</v>
      </c>
      <c r="C18" s="5">
        <v>0.4</v>
      </c>
      <c r="D18" s="3">
        <v>4e-5</v>
      </c>
      <c r="E18" s="3"/>
      <c r="F18" s="3"/>
      <c r="G18" s="3"/>
    </row>
    <row r="19" spans="1:7">
      <c r="A19" s="3">
        <v>16</v>
      </c>
      <c r="B19" s="3">
        <v>27.62</v>
      </c>
      <c r="C19" s="3">
        <v>0.06</v>
      </c>
      <c r="D19" s="3">
        <v>6e-6</v>
      </c>
      <c r="E19" s="3"/>
      <c r="F19" s="3"/>
      <c r="G19" s="3"/>
    </row>
    <row r="20" spans="1:7">
      <c r="A20" s="3">
        <v>17</v>
      </c>
      <c r="B20" s="5">
        <v>29.9</v>
      </c>
      <c r="C20" s="3">
        <v>0.36</v>
      </c>
      <c r="D20" s="3">
        <v>3.6e-5</v>
      </c>
      <c r="E20" s="3"/>
      <c r="F20" s="3"/>
      <c r="G20" s="3"/>
    </row>
    <row r="21" spans="1:7">
      <c r="A21" s="3">
        <v>18</v>
      </c>
      <c r="B21" s="3">
        <v>30.04</v>
      </c>
      <c r="C21" s="3">
        <v>0.18</v>
      </c>
      <c r="D21" s="3">
        <v>1.8e-5</v>
      </c>
      <c r="E21" s="3"/>
      <c r="F21" s="3"/>
      <c r="G21" s="3"/>
    </row>
    <row r="22" spans="1:7">
      <c r="A22" s="3">
        <v>19</v>
      </c>
      <c r="B22" s="3">
        <v>30.67</v>
      </c>
      <c r="C22" s="3">
        <v>0.58</v>
      </c>
      <c r="D22" s="3">
        <v>5.8e-5</v>
      </c>
      <c r="E22" s="3"/>
      <c r="F22" s="3"/>
      <c r="G22" s="3"/>
    </row>
    <row r="23" spans="1:7">
      <c r="A23" s="3">
        <v>20</v>
      </c>
      <c r="B23" s="3">
        <v>31.99</v>
      </c>
      <c r="C23" s="3">
        <v>0.12</v>
      </c>
      <c r="D23" s="3">
        <v>1.2e-5</v>
      </c>
      <c r="E23" s="3"/>
      <c r="F23" s="3"/>
      <c r="G23" s="3"/>
    </row>
    <row r="24" spans="1:7">
      <c r="A24" s="3">
        <v>21</v>
      </c>
      <c r="B24" s="3">
        <v>34.97</v>
      </c>
      <c r="C24" s="3">
        <v>1.02</v>
      </c>
      <c r="D24" s="3">
        <v>0.000102</v>
      </c>
      <c r="E24" s="3"/>
      <c r="F24" s="3"/>
      <c r="G24" s="3"/>
    </row>
    <row r="25" spans="1:7">
      <c r="A25" s="3">
        <v>22</v>
      </c>
      <c r="B25" s="5">
        <v>35.1</v>
      </c>
      <c r="C25" s="3">
        <v>0.53</v>
      </c>
      <c r="D25" s="3">
        <v>5.3e-5</v>
      </c>
      <c r="E25" s="3"/>
      <c r="F25" s="3"/>
      <c r="G25" s="3"/>
    </row>
    <row r="26" spans="1:7">
      <c r="A26" s="3">
        <v>23</v>
      </c>
      <c r="B26" s="3">
        <v>35.94</v>
      </c>
      <c r="C26" s="3">
        <v>1.11</v>
      </c>
      <c r="D26" s="3">
        <v>0.000111</v>
      </c>
      <c r="E26" s="3"/>
      <c r="F26" s="3"/>
      <c r="G26" s="3"/>
    </row>
    <row r="27" spans="1:7">
      <c r="A27" s="3">
        <v>24</v>
      </c>
      <c r="B27" s="3">
        <v>36.98</v>
      </c>
      <c r="C27" s="3">
        <v>0.29</v>
      </c>
      <c r="D27" s="3">
        <v>2.9e-5</v>
      </c>
      <c r="E27" s="3"/>
      <c r="F27" s="3"/>
      <c r="G27" s="3"/>
    </row>
    <row r="28" spans="1:7">
      <c r="A28" s="3">
        <v>25</v>
      </c>
      <c r="B28" s="3">
        <v>37.69</v>
      </c>
      <c r="C28" s="3">
        <v>1.67</v>
      </c>
      <c r="D28" s="3">
        <v>0.000167</v>
      </c>
      <c r="E28" s="3"/>
      <c r="F28" s="3"/>
      <c r="G28" s="3"/>
    </row>
    <row r="29" spans="1:7">
      <c r="A29" s="3">
        <v>26</v>
      </c>
      <c r="B29" s="5">
        <v>37.9</v>
      </c>
      <c r="C29" s="3">
        <v>0.62</v>
      </c>
      <c r="D29" s="3">
        <v>6.2e-5</v>
      </c>
      <c r="E29" s="3"/>
      <c r="F29" s="3"/>
      <c r="G29" s="3"/>
    </row>
    <row r="30" spans="1:7">
      <c r="A30" s="3">
        <v>27</v>
      </c>
      <c r="B30" s="3">
        <v>38.74</v>
      </c>
      <c r="C30" s="3">
        <v>0.27</v>
      </c>
      <c r="D30" s="3">
        <v>2.7e-5</v>
      </c>
      <c r="E30" s="3"/>
      <c r="F30" s="3"/>
      <c r="G30" s="3"/>
    </row>
    <row r="31" spans="1:7">
      <c r="A31" s="3">
        <v>28</v>
      </c>
      <c r="B31" s="3">
        <v>40.58</v>
      </c>
      <c r="C31" s="3">
        <v>0.09</v>
      </c>
      <c r="D31" s="3">
        <v>9e-6</v>
      </c>
      <c r="E31" s="3"/>
      <c r="F31" s="3"/>
      <c r="G31" s="3"/>
    </row>
    <row r="32" spans="1:7">
      <c r="A32" s="3">
        <v>29</v>
      </c>
      <c r="B32" s="3">
        <v>41.63</v>
      </c>
      <c r="C32" s="5">
        <v>0.3</v>
      </c>
      <c r="D32" s="3">
        <v>3e-5</v>
      </c>
      <c r="E32" s="3"/>
      <c r="F32" s="3"/>
      <c r="G32" s="3"/>
    </row>
    <row r="33" spans="1:7">
      <c r="A33" s="3">
        <v>30</v>
      </c>
      <c r="B33" s="3">
        <v>42.12</v>
      </c>
      <c r="C33" s="3">
        <v>0.54</v>
      </c>
      <c r="D33" s="3">
        <v>5.4e-5</v>
      </c>
      <c r="E33" s="3"/>
      <c r="F33" s="3"/>
      <c r="G33" s="3"/>
    </row>
    <row r="34" spans="1:7">
      <c r="A34" s="3">
        <v>31</v>
      </c>
      <c r="B34" s="3">
        <v>43.22</v>
      </c>
      <c r="C34" s="3">
        <v>0.32</v>
      </c>
      <c r="D34" s="3">
        <v>3.2e-5</v>
      </c>
      <c r="E34" s="3"/>
      <c r="F34" s="3"/>
      <c r="G34" s="3"/>
    </row>
    <row r="35" spans="1:7">
      <c r="A35" s="3">
        <v>32</v>
      </c>
      <c r="B35" s="5">
        <v>44.2</v>
      </c>
      <c r="C35" s="3">
        <v>0.29</v>
      </c>
      <c r="D35" s="3">
        <v>2.9e-5</v>
      </c>
      <c r="E35" s="3"/>
      <c r="F35" s="3"/>
      <c r="G35" s="3"/>
    </row>
    <row r="36" spans="1:7">
      <c r="A36" s="3">
        <v>33</v>
      </c>
      <c r="B36" s="3">
        <v>45.05</v>
      </c>
      <c r="C36" s="3">
        <v>0.39</v>
      </c>
      <c r="D36" s="3">
        <v>3.9e-5</v>
      </c>
      <c r="E36" s="3"/>
      <c r="F36" s="3"/>
      <c r="G36" s="3"/>
    </row>
    <row r="37" spans="1:7">
      <c r="A37" s="3">
        <v>34</v>
      </c>
      <c r="B37" s="3">
        <v>46.59</v>
      </c>
      <c r="C37" s="3">
        <v>0.79</v>
      </c>
      <c r="D37" s="3">
        <v>7.9e-5</v>
      </c>
      <c r="E37" s="3"/>
      <c r="F37" s="3"/>
      <c r="G37" s="3"/>
    </row>
    <row r="38" spans="1:7">
      <c r="A38" s="3">
        <v>35</v>
      </c>
      <c r="B38" s="3">
        <v>47.06</v>
      </c>
      <c r="C38" s="3">
        <v>0.73</v>
      </c>
      <c r="D38" s="3">
        <v>7.3e-5</v>
      </c>
      <c r="E38" s="3"/>
      <c r="F38" s="3"/>
      <c r="G38" s="3"/>
    </row>
    <row r="39" spans="1:7">
      <c r="A39" s="3">
        <v>36</v>
      </c>
      <c r="B39" s="3">
        <v>47.51</v>
      </c>
      <c r="C39" s="3">
        <v>0.54</v>
      </c>
      <c r="D39" s="3">
        <v>5.4e-5</v>
      </c>
      <c r="E39" s="3"/>
      <c r="F39" s="3"/>
      <c r="G39" s="3"/>
    </row>
    <row r="40" spans="1:7">
      <c r="A40" s="3">
        <v>37</v>
      </c>
      <c r="B40" s="3">
        <v>47.86</v>
      </c>
      <c r="C40" s="3">
        <v>0.07</v>
      </c>
      <c r="D40" s="3">
        <v>7e-6</v>
      </c>
      <c r="E40" s="3"/>
      <c r="F40" s="3"/>
      <c r="G40" s="3"/>
    </row>
    <row r="41" spans="1:7">
      <c r="A41" s="3">
        <v>38</v>
      </c>
      <c r="B41" s="3">
        <v>48.92</v>
      </c>
      <c r="C41" s="3">
        <v>0.33</v>
      </c>
      <c r="D41" s="3">
        <v>3.3e-5</v>
      </c>
      <c r="E41" s="3"/>
      <c r="F41" s="3"/>
      <c r="G41" s="3"/>
    </row>
    <row r="42" spans="1:7">
      <c r="A42" s="3">
        <v>39</v>
      </c>
      <c r="B42" s="3">
        <v>49.78</v>
      </c>
      <c r="C42" s="3">
        <v>0.43</v>
      </c>
      <c r="D42" s="3">
        <v>4.3e-5</v>
      </c>
      <c r="E42" s="3"/>
      <c r="F42" s="3"/>
      <c r="G42" s="3"/>
    </row>
    <row r="43" spans="1:7">
      <c r="A43" s="3">
        <v>40</v>
      </c>
      <c r="B43" s="3">
        <v>49.81</v>
      </c>
      <c r="C43" s="3">
        <v>0.55</v>
      </c>
      <c r="D43" s="3">
        <v>5.5e-5</v>
      </c>
      <c r="E43" s="3"/>
      <c r="F43" s="3"/>
      <c r="G43" s="3"/>
    </row>
    <row r="44" spans="1:7">
      <c r="A44" s="3">
        <v>41</v>
      </c>
      <c r="B44" s="5">
        <v>50.5</v>
      </c>
      <c r="C44" s="3">
        <v>0.72</v>
      </c>
      <c r="D44" s="3">
        <v>7.2e-5</v>
      </c>
      <c r="E44" s="3"/>
      <c r="F44" s="3"/>
      <c r="G44" s="3"/>
    </row>
    <row r="45" spans="1:7">
      <c r="A45" s="3">
        <v>42</v>
      </c>
      <c r="B45" s="3">
        <v>50.52</v>
      </c>
      <c r="C45" s="3">
        <v>0.21</v>
      </c>
      <c r="D45" s="3">
        <v>2.1e-5</v>
      </c>
      <c r="E45" s="3"/>
      <c r="F45" s="3"/>
      <c r="G45" s="3"/>
    </row>
    <row r="46" spans="1:7">
      <c r="A46" s="3">
        <v>43</v>
      </c>
      <c r="B46" s="3">
        <v>51.48</v>
      </c>
      <c r="C46" s="3">
        <v>0.18</v>
      </c>
      <c r="D46" s="3">
        <v>1.8e-5</v>
      </c>
      <c r="E46" s="3"/>
      <c r="F46" s="3"/>
      <c r="G46" s="3"/>
    </row>
    <row r="47" spans="1:7">
      <c r="A47" s="3">
        <v>44</v>
      </c>
      <c r="B47" s="3">
        <v>52.18</v>
      </c>
      <c r="C47" s="3">
        <v>0.61</v>
      </c>
      <c r="D47" s="3">
        <v>6.1e-5</v>
      </c>
      <c r="E47" s="3"/>
      <c r="F47" s="3"/>
      <c r="G47" s="3"/>
    </row>
    <row r="48" spans="1:7">
      <c r="A48" s="3">
        <v>45</v>
      </c>
      <c r="B48" s="3">
        <v>52.87</v>
      </c>
      <c r="C48" s="3">
        <v>0.92</v>
      </c>
      <c r="D48" s="3">
        <v>9.2e-5</v>
      </c>
      <c r="E48" s="3"/>
      <c r="F48" s="3"/>
      <c r="G48" s="3"/>
    </row>
    <row r="49" spans="1:7">
      <c r="A49" s="3">
        <v>46</v>
      </c>
      <c r="B49" s="3">
        <v>53.25</v>
      </c>
      <c r="C49" s="3">
        <v>0.19</v>
      </c>
      <c r="D49" s="3">
        <v>1.9e-5</v>
      </c>
      <c r="E49" s="3"/>
      <c r="F49" s="3"/>
      <c r="G49" s="3"/>
    </row>
    <row r="50" spans="1:7">
      <c r="A50" s="3">
        <v>47</v>
      </c>
      <c r="B50" s="3">
        <v>53.62</v>
      </c>
      <c r="C50" s="3">
        <v>0.44</v>
      </c>
      <c r="D50" s="3">
        <v>4.4e-5</v>
      </c>
      <c r="E50" s="3"/>
      <c r="F50" s="3"/>
      <c r="G50" s="3"/>
    </row>
    <row r="51" spans="1:7">
      <c r="A51" s="3">
        <v>48</v>
      </c>
      <c r="B51" s="3">
        <v>54.32</v>
      </c>
      <c r="C51" s="3">
        <v>0.22</v>
      </c>
      <c r="D51" s="3">
        <v>2.2e-5</v>
      </c>
      <c r="E51" s="3"/>
      <c r="F51" s="3"/>
      <c r="G51" s="3"/>
    </row>
    <row r="52" spans="1:7">
      <c r="A52" s="3">
        <v>49</v>
      </c>
      <c r="B52" s="3">
        <v>55.19</v>
      </c>
      <c r="C52" s="3">
        <v>0.34</v>
      </c>
      <c r="D52" s="3">
        <v>3.4e-5</v>
      </c>
      <c r="E52" s="3"/>
      <c r="F52" s="3"/>
      <c r="G52" s="3"/>
    </row>
    <row r="53" spans="1:7">
      <c r="A53" s="3">
        <v>50</v>
      </c>
      <c r="B53" s="3">
        <v>56.07</v>
      </c>
      <c r="C53" s="3">
        <v>0.49</v>
      </c>
      <c r="D53" s="3">
        <v>4.9e-5</v>
      </c>
      <c r="E53" s="3"/>
      <c r="F53" s="3"/>
      <c r="G53" s="3"/>
    </row>
    <row r="54" spans="1:7">
      <c r="A54" s="3">
        <v>51</v>
      </c>
      <c r="B54" s="3">
        <v>56.33</v>
      </c>
      <c r="C54" s="3">
        <v>0.15</v>
      </c>
      <c r="D54" s="3">
        <v>1.5e-5</v>
      </c>
      <c r="E54" s="3"/>
      <c r="F54" s="3"/>
      <c r="G54" s="3"/>
    </row>
    <row r="55" spans="1:7">
      <c r="A55" s="3">
        <v>52</v>
      </c>
      <c r="B55" s="3">
        <v>56.56</v>
      </c>
      <c r="C55" s="3">
        <v>0.76</v>
      </c>
      <c r="D55" s="3">
        <v>7.6e-5</v>
      </c>
      <c r="E55" s="3"/>
      <c r="F55" s="3"/>
      <c r="G55" s="3"/>
    </row>
    <row r="56" spans="1:7">
      <c r="A56" s="3">
        <v>53</v>
      </c>
      <c r="B56" s="3">
        <v>58.29</v>
      </c>
      <c r="C56" s="3">
        <v>0.12</v>
      </c>
      <c r="D56" s="3">
        <v>1.2e-5</v>
      </c>
      <c r="E56" s="3"/>
      <c r="F56" s="3"/>
      <c r="G56" s="3"/>
    </row>
    <row r="57" spans="1:7">
      <c r="A57" s="3">
        <v>54</v>
      </c>
      <c r="B57" s="3">
        <v>58.75</v>
      </c>
      <c r="C57" s="3">
        <v>0.12</v>
      </c>
      <c r="D57" s="3">
        <v>1.2e-5</v>
      </c>
      <c r="E57" s="3"/>
      <c r="F57" s="3"/>
      <c r="G57" s="3"/>
    </row>
    <row r="58" spans="1:7">
      <c r="A58" s="3">
        <v>55</v>
      </c>
      <c r="B58" s="3">
        <v>59.44</v>
      </c>
      <c r="C58" s="3">
        <v>0.35</v>
      </c>
      <c r="D58" s="3">
        <v>3.5e-5</v>
      </c>
      <c r="E58" s="3"/>
      <c r="F58" s="3"/>
      <c r="G58" s="3"/>
    </row>
    <row r="59" spans="1:7">
      <c r="A59" s="3">
        <v>56</v>
      </c>
      <c r="B59" s="5">
        <v>61.4</v>
      </c>
      <c r="C59" s="3">
        <v>0.83</v>
      </c>
      <c r="D59" s="3">
        <v>8.3e-5</v>
      </c>
      <c r="E59" s="3"/>
      <c r="F59" s="3"/>
      <c r="G59" s="3"/>
    </row>
    <row r="60" spans="1:7">
      <c r="A60" s="3">
        <v>57</v>
      </c>
      <c r="B60" s="5">
        <v>62</v>
      </c>
      <c r="C60" s="3">
        <v>0.21</v>
      </c>
      <c r="D60" s="3">
        <v>2.1e-5</v>
      </c>
      <c r="E60" s="3"/>
      <c r="F60" s="3"/>
      <c r="G60" s="3"/>
    </row>
    <row r="61" spans="1:7">
      <c r="A61" s="3">
        <v>58</v>
      </c>
      <c r="B61" s="3">
        <v>63.65</v>
      </c>
      <c r="C61" s="3">
        <v>0.35</v>
      </c>
      <c r="D61" s="3">
        <v>3.5e-5</v>
      </c>
      <c r="E61" s="3"/>
      <c r="F61" s="3"/>
      <c r="G61" s="3"/>
    </row>
    <row r="62" spans="1:7">
      <c r="A62" s="3">
        <v>59</v>
      </c>
      <c r="B62" s="3">
        <v>67.11</v>
      </c>
      <c r="C62" s="3">
        <v>0.35</v>
      </c>
      <c r="D62" s="3">
        <v>3.5e-5</v>
      </c>
      <c r="E62" s="3"/>
      <c r="F62" s="3"/>
      <c r="G62" s="3"/>
    </row>
    <row r="63" spans="1:7">
      <c r="A63" s="6">
        <v>60</v>
      </c>
      <c r="B63" s="6">
        <v>76.68</v>
      </c>
      <c r="C63" s="6">
        <v>0.47</v>
      </c>
      <c r="D63" s="6">
        <v>4.7e-5</v>
      </c>
      <c r="E63" s="3"/>
      <c r="F63" s="3"/>
      <c r="G63" s="3"/>
    </row>
    <row r="64" spans="3:4">
      <c r="C64" s="3"/>
      <c r="D64" s="3"/>
    </row>
  </sheetData>
  <mergeCells count="1">
    <mergeCell ref="A1:D1"/>
  </mergeCells>
  <pageMargins left="0.7" right="0.7" top="0.75" bottom="0.75" header="0.3" footer="0.3"/>
  <pageSetup paperSize="9" orientation="portrait"/>
  <headerFooter/>
  <drawing r:id="rId1"/>
  <legacyDrawing r:id="rId2"/>
  <oleObjects>
    <mc:AlternateContent xmlns:mc="http://schemas.openxmlformats.org/markup-compatibility/2006">
      <mc:Choice Requires="x14">
        <oleObject shapeId="2049" progId="Equation.DSMT4" r:id="rId3">
          <objectPr defaultSize="0" r:id="rId4">
            <anchor moveWithCells="1" sizeWithCells="1">
              <from>
                <xdr:col>0</xdr:col>
                <xdr:colOff>0</xdr:colOff>
                <xdr:row>64</xdr:row>
                <xdr:rowOff>114300</xdr:rowOff>
              </from>
              <to>
                <xdr:col>1</xdr:col>
                <xdr:colOff>891540</xdr:colOff>
                <xdr:row>65</xdr:row>
                <xdr:rowOff>114300</xdr:rowOff>
              </to>
            </anchor>
          </objectPr>
        </oleObject>
      </mc:Choice>
      <mc:Fallback>
        <oleObject shapeId="2049" progId="Equation.DSMT4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工管181</vt:lpstr>
      <vt:lpstr>工管182</vt:lpstr>
      <vt:lpstr>造价181</vt:lpstr>
      <vt:lpstr>造价182</vt:lpstr>
      <vt:lpstr>统计173</vt:lpstr>
      <vt:lpstr>安全171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HiteVision</cp:lastModifiedBy>
  <dcterms:created xsi:type="dcterms:W3CDTF">2015-01-15T16:55:00Z</dcterms:created>
  <dcterms:modified xsi:type="dcterms:W3CDTF">2023-12-10T23:59:45Z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8E23AB1746AF481E8E26CD28D1045FB9_12</vt:lpwstr>
  </property>
  <property fmtid="{D5CDD505-2E9C-101B-9397-08002B2CF9AE}" pid="3" name="KSOProductBuildVer">
    <vt:lpwstr>2052-12.1.0.15990</vt:lpwstr>
  </property>
</Properties>
</file>